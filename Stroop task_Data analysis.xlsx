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ir\Downloads\"/>
    </mc:Choice>
  </mc:AlternateContent>
  <xr:revisionPtr revIDLastSave="0" documentId="8_{31A67D2C-B969-4C00-B696-8D8B2CF45230}" xr6:coauthVersionLast="47" xr6:coauthVersionMax="47" xr10:uidLastSave="{00000000-0000-0000-0000-000000000000}"/>
  <bookViews>
    <workbookView xWindow="-103" yWindow="-103" windowWidth="22149" windowHeight="13200" activeTab="4" xr2:uid="{2ECAC997-998E-4B65-BBB6-D9C23076FAE4}"/>
  </bookViews>
  <sheets>
    <sheet name="Raw(1st)" sheetId="1" r:id="rId1"/>
    <sheet name="Raw(2nd)" sheetId="2" r:id="rId2"/>
    <sheet name="Raw(3rd)" sheetId="3" r:id="rId3"/>
    <sheet name="Raw(4th)" sheetId="4" r:id="rId4"/>
    <sheet name="Data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5" l="1"/>
  <c r="C34" i="5"/>
  <c r="C33" i="5"/>
  <c r="B33" i="5"/>
  <c r="B34" i="5" s="1"/>
  <c r="C32" i="5"/>
  <c r="B32" i="5"/>
  <c r="C30" i="5"/>
  <c r="B30" i="5"/>
  <c r="C29" i="5"/>
  <c r="B29" i="5"/>
  <c r="C28" i="5"/>
  <c r="B28" i="5"/>
  <c r="C27" i="5"/>
</calcChain>
</file>

<file path=xl/sharedStrings.xml><?xml version="1.0" encoding="utf-8"?>
<sst xmlns="http://schemas.openxmlformats.org/spreadsheetml/2006/main" count="1263" uniqueCount="71">
  <si>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</si>
  <si>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</si>
  <si>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</si>
  <si>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</si>
  <si>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</si>
  <si>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</si>
  <si>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</si>
  <si>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</si>
  <si>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</si>
  <si>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</si>
  <si>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</si>
  <si>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</si>
  <si>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</si>
  <si>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</si>
  <si>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</si>
  <si>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</si>
  <si>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</si>
  <si>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</si>
  <si>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</si>
  <si>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</si>
  <si>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</si>
  <si>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</si>
  <si>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</si>
  <si>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</si>
  <si>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</si>
  <si>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</si>
  <si>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</si>
  <si>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</si>
  <si>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</si>
  <si>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</si>
  <si>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thank_you_.started</t>
  </si>
  <si>
    <t>text_3.started</t>
  </si>
  <si>
    <t>thank_you_.stopped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</si>
  <si>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</si>
  <si>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</si>
  <si>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</si>
  <si>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</si>
  <si>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</si>
  <si>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</si>
  <si>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</si>
  <si>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</si>
  <si>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2025-08-26_09h59.56.015</t>
  </si>
  <si>
    <t>Stroop task</t>
  </si>
  <si>
    <t>2025.1.1</t>
  </si>
  <si>
    <t>2025-08-26 10h00.02.352223 +0530</t>
  </si>
  <si>
    <t>BLUE</t>
  </si>
  <si>
    <t>red</t>
  </si>
  <si>
    <t>I</t>
  </si>
  <si>
    <t>r</t>
  </si>
  <si>
    <t>None</t>
  </si>
  <si>
    <t>RED</t>
  </si>
  <si>
    <t>C</t>
  </si>
  <si>
    <t>blue</t>
  </si>
  <si>
    <t>b</t>
  </si>
  <si>
    <t>text_3.stopped</t>
  </si>
  <si>
    <t>2025-08-26_10h00.37.623</t>
  </si>
  <si>
    <t>2025-08-26 10h00.44.372118 +0530</t>
  </si>
  <si>
    <t>2025-08-26_10h01.19.261</t>
  </si>
  <si>
    <t>2025-08-26 10h01.23.900524 +0530</t>
  </si>
  <si>
    <t>2025-08-26_10h01.57.254</t>
  </si>
  <si>
    <t>2025-08-26 10h02.01.280553 +0530</t>
  </si>
  <si>
    <t>1st</t>
  </si>
  <si>
    <t>2nd</t>
  </si>
  <si>
    <t>3rd</t>
  </si>
  <si>
    <t>4th</t>
  </si>
  <si>
    <t>Participants</t>
  </si>
  <si>
    <t>Congruent</t>
  </si>
  <si>
    <t>Incongruent</t>
  </si>
  <si>
    <t>Grand mean</t>
  </si>
  <si>
    <t xml:space="preserve">Standard Deviation 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</si>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</sst>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Stroop</a:t>
            </a:r>
            <a:r>
              <a:rPr lang="en-IN" baseline="0"/>
              <a:t> Task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'Data Analysis'!$G$26:$H$26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'Data Analysis'!$G$27:$H$27</c:f>
              <c:numCache>
                <c:formatCode>General</c:formatCode>
                <c:ptCount val="2"/>
                <c:pt idx="0">
                  <c:v>0.56775399999999998</c:v>
                </c:pt>
                <c:pt idx="1">
                  <c:v>0.63959500000000002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E-486E-AE19-CD3F52BE5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464128"/>
        <c:axId val="286461248"/>
      </c:barChart>
      <c:catAx>
        <c:axId val="28646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Congruency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61248"/>
        <c:crosses val="autoZero"/>
        <c:auto val="1"/>
        <c:lblAlgn val="ctr"/>
        <c:lblOffset val="100"/>
        <c:noMultiLvlLbl val="0"/>
      </c:catAx>
      <c:valAx>
        <c:axId val="2864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Time(RT)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204106</xdr:colOff>
      <xdr:row>28</xdr:row>
      <xdr:rowOff>114299</xdr:rowOff>
    </xdr:from>
    <xdr:to>
      <xdr:col>11</xdr:col>
      <xdr:colOff>204106</xdr:colOff>
      <xdr:row>43</xdr:row>
      <xdr:rowOff>81642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95752-5765-336A-534D-0DB8C86C5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77AB-7424-4390-A16A-3F47829AA44D}">
  <dimension ref="A1:AO23"/>
  <sheetViews>
    <sheetView workbookViewId="0">
      <selection activeCell="I1" sqref="I1:I1048576"/>
    </sheetView>
  </sheetViews>
  <sheetFormatPr defaultRowHeight="14.6" x14ac:dyDescent="0.4"/>
  <sheetData>
    <row r="1" spans="1: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">
      <c r="A2" t="s">
        <v>50</v>
      </c>
      <c r="B2" t="s">
        <v>46</v>
      </c>
      <c r="C2" t="s">
        <v>51</v>
      </c>
      <c r="D2" t="s">
        <v>48</v>
      </c>
      <c r="E2">
        <v>1</v>
      </c>
      <c r="F2">
        <v>1</v>
      </c>
      <c r="G2">
        <v>0</v>
      </c>
      <c r="H2" t="s">
        <v>48</v>
      </c>
      <c r="I2">
        <v>1</v>
      </c>
      <c r="J2">
        <v>0.66867169999750298</v>
      </c>
      <c r="K2" t="s">
        <v>49</v>
      </c>
      <c r="L2">
        <v>0</v>
      </c>
      <c r="M2">
        <v>1</v>
      </c>
      <c r="N2">
        <v>1</v>
      </c>
      <c r="O2">
        <v>0</v>
      </c>
      <c r="P2">
        <v>3.3424876999924802</v>
      </c>
      <c r="U2">
        <v>3.33569939999142</v>
      </c>
      <c r="V2">
        <v>3.3424876999924802</v>
      </c>
      <c r="W2">
        <v>3.8434565999777899</v>
      </c>
      <c r="X2">
        <v>3.8434565999777899</v>
      </c>
      <c r="Y2">
        <v>3.8434565999777899</v>
      </c>
      <c r="Z2">
        <v>4.5153912999667201</v>
      </c>
      <c r="AA2" t="s">
        <v>48</v>
      </c>
      <c r="AB2">
        <v>1</v>
      </c>
      <c r="AC2">
        <v>0.66867169999750298</v>
      </c>
      <c r="AD2" t="s">
        <v>49</v>
      </c>
      <c r="AH2">
        <v>1</v>
      </c>
      <c r="AI2">
        <v>1</v>
      </c>
      <c r="AJ2" t="s">
        <v>41</v>
      </c>
      <c r="AK2" t="s">
        <v>42</v>
      </c>
      <c r="AM2" t="s">
        <v>43</v>
      </c>
      <c r="AN2">
        <v>59.713577847380797</v>
      </c>
      <c r="AO2" t="s">
        <v>44</v>
      </c>
    </row>
    <row r="3" spans="1:41" x14ac:dyDescent="0.4">
      <c r="A3" t="s">
        <v>45</v>
      </c>
      <c r="B3" t="s">
        <v>52</v>
      </c>
      <c r="C3" t="s">
        <v>51</v>
      </c>
      <c r="D3" t="s">
        <v>53</v>
      </c>
      <c r="E3">
        <v>3</v>
      </c>
      <c r="F3">
        <v>3</v>
      </c>
      <c r="G3">
        <v>0</v>
      </c>
      <c r="H3" t="s">
        <v>53</v>
      </c>
      <c r="I3">
        <v>1</v>
      </c>
      <c r="J3">
        <v>0.49376250000204802</v>
      </c>
      <c r="K3" t="s">
        <v>49</v>
      </c>
      <c r="L3">
        <v>0</v>
      </c>
      <c r="M3">
        <v>3</v>
      </c>
      <c r="N3">
        <v>3</v>
      </c>
      <c r="O3">
        <v>3</v>
      </c>
      <c r="P3">
        <v>5.5102368000079798</v>
      </c>
      <c r="U3">
        <v>5.5027925000176703</v>
      </c>
      <c r="V3">
        <v>5.5102368000079798</v>
      </c>
      <c r="W3">
        <v>6.0103253999841399</v>
      </c>
      <c r="X3">
        <v>6.0103253999841399</v>
      </c>
      <c r="Y3">
        <v>6.0103253999841399</v>
      </c>
      <c r="Z3">
        <v>6.5143996999831799</v>
      </c>
      <c r="AA3" t="s">
        <v>53</v>
      </c>
      <c r="AB3">
        <v>1</v>
      </c>
      <c r="AC3">
        <v>0.49376250000204802</v>
      </c>
      <c r="AD3" t="s">
        <v>49</v>
      </c>
      <c r="AH3">
        <v>1</v>
      </c>
      <c r="AI3">
        <v>1</v>
      </c>
      <c r="AJ3" t="s">
        <v>41</v>
      </c>
      <c r="AK3" t="s">
        <v>42</v>
      </c>
      <c r="AM3" t="s">
        <v>43</v>
      </c>
      <c r="AN3">
        <v>59.713577847380797</v>
      </c>
      <c r="AO3" t="s">
        <v>44</v>
      </c>
    </row>
    <row r="4" spans="1:41" x14ac:dyDescent="0.4">
      <c r="A4" t="s">
        <v>50</v>
      </c>
      <c r="B4" t="s">
        <v>46</v>
      </c>
      <c r="C4" t="s">
        <v>51</v>
      </c>
      <c r="D4" t="s">
        <v>48</v>
      </c>
      <c r="E4">
        <v>4</v>
      </c>
      <c r="F4">
        <v>0</v>
      </c>
      <c r="G4">
        <v>1</v>
      </c>
      <c r="H4" t="s">
        <v>48</v>
      </c>
      <c r="I4">
        <v>1</v>
      </c>
      <c r="J4">
        <v>0.42850809998344602</v>
      </c>
      <c r="K4" t="s">
        <v>49</v>
      </c>
      <c r="L4">
        <v>1</v>
      </c>
      <c r="M4">
        <v>0</v>
      </c>
      <c r="N4">
        <v>4</v>
      </c>
      <c r="O4">
        <v>0</v>
      </c>
      <c r="P4">
        <v>6.5275037999963299</v>
      </c>
      <c r="U4">
        <v>6.5184037999715603</v>
      </c>
      <c r="V4">
        <v>6.5275037999963299</v>
      </c>
      <c r="W4">
        <v>7.0272557999705896</v>
      </c>
      <c r="X4">
        <v>7.0272557999705896</v>
      </c>
      <c r="Y4">
        <v>7.0272557999705896</v>
      </c>
      <c r="Z4">
        <v>7.4643152999924496</v>
      </c>
      <c r="AA4" t="s">
        <v>48</v>
      </c>
      <c r="AB4">
        <v>1</v>
      </c>
      <c r="AC4">
        <v>0.42850809998344602</v>
      </c>
      <c r="AD4" t="s">
        <v>49</v>
      </c>
      <c r="AH4">
        <v>1</v>
      </c>
      <c r="AI4">
        <v>1</v>
      </c>
      <c r="AJ4" t="s">
        <v>41</v>
      </c>
      <c r="AK4" t="s">
        <v>42</v>
      </c>
      <c r="AM4" t="s">
        <v>43</v>
      </c>
      <c r="AN4">
        <v>59.713577847380797</v>
      </c>
      <c r="AO4" t="s">
        <v>44</v>
      </c>
    </row>
    <row r="5" spans="1:41" x14ac:dyDescent="0.4">
      <c r="A5" t="s">
        <v>45</v>
      </c>
      <c r="B5" t="s">
        <v>52</v>
      </c>
      <c r="C5" t="s">
        <v>51</v>
      </c>
      <c r="D5" t="s">
        <v>53</v>
      </c>
      <c r="E5">
        <v>5</v>
      </c>
      <c r="F5">
        <v>1</v>
      </c>
      <c r="G5">
        <v>1</v>
      </c>
      <c r="H5" t="s">
        <v>53</v>
      </c>
      <c r="I5">
        <v>1</v>
      </c>
      <c r="J5">
        <v>0.49636069999541998</v>
      </c>
      <c r="K5" t="s">
        <v>49</v>
      </c>
      <c r="L5">
        <v>1</v>
      </c>
      <c r="M5">
        <v>1</v>
      </c>
      <c r="N5">
        <v>5</v>
      </c>
      <c r="O5">
        <v>3</v>
      </c>
      <c r="P5">
        <v>7.4765476000029496</v>
      </c>
      <c r="U5">
        <v>7.4668971999781197</v>
      </c>
      <c r="V5">
        <v>7.4765476000029496</v>
      </c>
      <c r="W5">
        <v>7.9768679999979204</v>
      </c>
      <c r="X5">
        <v>7.9768679999979204</v>
      </c>
      <c r="Y5">
        <v>7.9768679999979204</v>
      </c>
      <c r="Z5">
        <v>8.4824544999864795</v>
      </c>
      <c r="AA5" t="s">
        <v>53</v>
      </c>
      <c r="AB5">
        <v>1</v>
      </c>
      <c r="AC5">
        <v>0.49636069999541998</v>
      </c>
      <c r="AD5" t="s">
        <v>49</v>
      </c>
      <c r="AH5">
        <v>1</v>
      </c>
      <c r="AI5">
        <v>1</v>
      </c>
      <c r="AJ5" t="s">
        <v>41</v>
      </c>
      <c r="AK5" t="s">
        <v>42</v>
      </c>
      <c r="AM5" t="s">
        <v>43</v>
      </c>
      <c r="AN5">
        <v>59.713577847380797</v>
      </c>
      <c r="AO5" t="s">
        <v>44</v>
      </c>
    </row>
    <row r="6" spans="1:41" x14ac:dyDescent="0.4">
      <c r="A6" t="s">
        <v>50</v>
      </c>
      <c r="B6" t="s">
        <v>46</v>
      </c>
      <c r="C6" t="s">
        <v>51</v>
      </c>
      <c r="D6" t="s">
        <v>48</v>
      </c>
      <c r="E6">
        <v>10</v>
      </c>
      <c r="F6">
        <v>2</v>
      </c>
      <c r="G6">
        <v>2</v>
      </c>
      <c r="H6" t="s">
        <v>48</v>
      </c>
      <c r="I6">
        <v>1</v>
      </c>
      <c r="J6">
        <v>0.51995320001151402</v>
      </c>
      <c r="K6" t="s">
        <v>49</v>
      </c>
      <c r="L6">
        <v>2</v>
      </c>
      <c r="M6">
        <v>2</v>
      </c>
      <c r="N6">
        <v>10</v>
      </c>
      <c r="O6">
        <v>0</v>
      </c>
      <c r="P6">
        <v>13.0600764999981</v>
      </c>
      <c r="U6">
        <v>13.0468439999967</v>
      </c>
      <c r="V6">
        <v>13.0600764999981</v>
      </c>
      <c r="W6">
        <v>13.5596755999722</v>
      </c>
      <c r="X6">
        <v>13.5596755999722</v>
      </c>
      <c r="Y6">
        <v>13.5596755999722</v>
      </c>
      <c r="Z6">
        <v>14.0804046000121</v>
      </c>
      <c r="AA6" t="s">
        <v>48</v>
      </c>
      <c r="AB6">
        <v>1</v>
      </c>
      <c r="AC6">
        <v>0.51995320001151402</v>
      </c>
      <c r="AD6" t="s">
        <v>49</v>
      </c>
      <c r="AH6">
        <v>1</v>
      </c>
      <c r="AI6">
        <v>1</v>
      </c>
      <c r="AJ6" t="s">
        <v>41</v>
      </c>
      <c r="AK6" t="s">
        <v>42</v>
      </c>
      <c r="AM6" t="s">
        <v>43</v>
      </c>
      <c r="AN6">
        <v>59.713577847380797</v>
      </c>
      <c r="AO6" t="s">
        <v>44</v>
      </c>
    </row>
    <row r="7" spans="1:41" x14ac:dyDescent="0.4">
      <c r="A7" t="s">
        <v>45</v>
      </c>
      <c r="B7" t="s">
        <v>52</v>
      </c>
      <c r="C7" t="s">
        <v>51</v>
      </c>
      <c r="D7" t="s">
        <v>53</v>
      </c>
      <c r="E7">
        <v>11</v>
      </c>
      <c r="F7">
        <v>3</v>
      </c>
      <c r="G7">
        <v>2</v>
      </c>
      <c r="H7" t="s">
        <v>53</v>
      </c>
      <c r="I7">
        <v>1</v>
      </c>
      <c r="J7">
        <v>0.57697069999994699</v>
      </c>
      <c r="K7" t="s">
        <v>49</v>
      </c>
      <c r="L7">
        <v>2</v>
      </c>
      <c r="M7">
        <v>3</v>
      </c>
      <c r="N7">
        <v>11</v>
      </c>
      <c r="O7">
        <v>3</v>
      </c>
      <c r="P7">
        <v>14.0931433999794</v>
      </c>
      <c r="U7">
        <v>14.083230899996099</v>
      </c>
      <c r="V7">
        <v>14.0931433999794</v>
      </c>
      <c r="W7">
        <v>14.5936742000048</v>
      </c>
      <c r="X7">
        <v>14.5936742000048</v>
      </c>
      <c r="Y7">
        <v>14.5936742000048</v>
      </c>
      <c r="Z7">
        <v>15.1850548000074</v>
      </c>
      <c r="AA7" t="s">
        <v>53</v>
      </c>
      <c r="AB7">
        <v>1</v>
      </c>
      <c r="AC7">
        <v>0.57697069999994699</v>
      </c>
      <c r="AD7" t="s">
        <v>49</v>
      </c>
      <c r="AH7">
        <v>1</v>
      </c>
      <c r="AI7">
        <v>1</v>
      </c>
      <c r="AJ7" t="s">
        <v>41</v>
      </c>
      <c r="AK7" t="s">
        <v>42</v>
      </c>
      <c r="AM7" t="s">
        <v>43</v>
      </c>
      <c r="AN7">
        <v>59.713577847380797</v>
      </c>
      <c r="AO7" t="s">
        <v>44</v>
      </c>
    </row>
    <row r="8" spans="1:41" x14ac:dyDescent="0.4">
      <c r="A8" t="s">
        <v>50</v>
      </c>
      <c r="B8" t="s">
        <v>46</v>
      </c>
      <c r="C8" t="s">
        <v>51</v>
      </c>
      <c r="D8" t="s">
        <v>48</v>
      </c>
      <c r="E8">
        <v>12</v>
      </c>
      <c r="F8">
        <v>0</v>
      </c>
      <c r="G8">
        <v>3</v>
      </c>
      <c r="H8" t="s">
        <v>48</v>
      </c>
      <c r="I8">
        <v>1</v>
      </c>
      <c r="J8">
        <v>0.61529909999808297</v>
      </c>
      <c r="K8" t="s">
        <v>49</v>
      </c>
      <c r="L8">
        <v>3</v>
      </c>
      <c r="M8">
        <v>0</v>
      </c>
      <c r="N8">
        <v>12</v>
      </c>
      <c r="O8">
        <v>0</v>
      </c>
      <c r="P8">
        <v>15.210064899991201</v>
      </c>
      <c r="U8">
        <v>15.189503100002099</v>
      </c>
      <c r="V8">
        <v>15.210064899991201</v>
      </c>
      <c r="W8">
        <v>15.6939602000056</v>
      </c>
      <c r="X8">
        <v>15.6939602000056</v>
      </c>
      <c r="Y8">
        <v>15.6939602000056</v>
      </c>
      <c r="Z8">
        <v>16.315032600017702</v>
      </c>
      <c r="AA8" t="s">
        <v>48</v>
      </c>
      <c r="AB8">
        <v>1</v>
      </c>
      <c r="AC8">
        <v>0.61529909999808297</v>
      </c>
      <c r="AD8" t="s">
        <v>49</v>
      </c>
      <c r="AH8">
        <v>1</v>
      </c>
      <c r="AI8">
        <v>1</v>
      </c>
      <c r="AJ8" t="s">
        <v>41</v>
      </c>
      <c r="AK8" t="s">
        <v>42</v>
      </c>
      <c r="AM8" t="s">
        <v>43</v>
      </c>
      <c r="AN8">
        <v>59.713577847380797</v>
      </c>
      <c r="AO8" t="s">
        <v>44</v>
      </c>
    </row>
    <row r="9" spans="1:41" x14ac:dyDescent="0.4">
      <c r="A9" t="s">
        <v>45</v>
      </c>
      <c r="B9" t="s">
        <v>52</v>
      </c>
      <c r="C9" t="s">
        <v>51</v>
      </c>
      <c r="D9" t="s">
        <v>53</v>
      </c>
      <c r="E9">
        <v>15</v>
      </c>
      <c r="F9">
        <v>3</v>
      </c>
      <c r="G9">
        <v>3</v>
      </c>
      <c r="H9" t="s">
        <v>53</v>
      </c>
      <c r="I9">
        <v>1</v>
      </c>
      <c r="J9">
        <v>0.64253610000014305</v>
      </c>
      <c r="K9" t="s">
        <v>49</v>
      </c>
      <c r="L9">
        <v>3</v>
      </c>
      <c r="M9">
        <v>3</v>
      </c>
      <c r="N9">
        <v>15</v>
      </c>
      <c r="O9">
        <v>3</v>
      </c>
      <c r="P9">
        <v>19.1599902000161</v>
      </c>
      <c r="U9">
        <v>19.1476106999907</v>
      </c>
      <c r="V9">
        <v>19.1599902000161</v>
      </c>
      <c r="W9">
        <v>19.660152899974399</v>
      </c>
      <c r="X9">
        <v>19.660152899974399</v>
      </c>
      <c r="Y9">
        <v>19.660152899974399</v>
      </c>
      <c r="Z9">
        <v>20.3155178999877</v>
      </c>
      <c r="AA9" t="s">
        <v>53</v>
      </c>
      <c r="AB9">
        <v>1</v>
      </c>
      <c r="AC9">
        <v>0.64253610000014305</v>
      </c>
      <c r="AD9" t="s">
        <v>49</v>
      </c>
      <c r="AH9">
        <v>1</v>
      </c>
      <c r="AI9">
        <v>1</v>
      </c>
      <c r="AJ9" t="s">
        <v>41</v>
      </c>
      <c r="AK9" t="s">
        <v>42</v>
      </c>
      <c r="AM9" t="s">
        <v>43</v>
      </c>
      <c r="AN9">
        <v>59.713577847380797</v>
      </c>
      <c r="AO9" t="s">
        <v>44</v>
      </c>
    </row>
    <row r="10" spans="1:41" x14ac:dyDescent="0.4">
      <c r="A10" t="s">
        <v>50</v>
      </c>
      <c r="B10" t="s">
        <v>46</v>
      </c>
      <c r="C10" t="s">
        <v>51</v>
      </c>
      <c r="D10" t="s">
        <v>48</v>
      </c>
      <c r="E10">
        <v>17</v>
      </c>
      <c r="F10">
        <v>1</v>
      </c>
      <c r="G10">
        <v>4</v>
      </c>
      <c r="H10" t="s">
        <v>48</v>
      </c>
      <c r="I10">
        <v>1</v>
      </c>
      <c r="J10">
        <v>0.64286329998867497</v>
      </c>
      <c r="K10" t="s">
        <v>49</v>
      </c>
      <c r="L10">
        <v>4</v>
      </c>
      <c r="M10">
        <v>1</v>
      </c>
      <c r="N10">
        <v>17</v>
      </c>
      <c r="O10">
        <v>0</v>
      </c>
      <c r="P10">
        <v>21.4451653999858</v>
      </c>
      <c r="U10">
        <v>21.4361660999711</v>
      </c>
      <c r="V10">
        <v>21.4451653999858</v>
      </c>
      <c r="W10">
        <v>21.943283599975899</v>
      </c>
      <c r="X10">
        <v>21.943283599975899</v>
      </c>
      <c r="Y10">
        <v>21.943283599975899</v>
      </c>
      <c r="Z10">
        <v>22.595274499966699</v>
      </c>
      <c r="AA10" t="s">
        <v>48</v>
      </c>
      <c r="AB10">
        <v>1</v>
      </c>
      <c r="AC10">
        <v>0.64286329998867497</v>
      </c>
      <c r="AD10" t="s">
        <v>49</v>
      </c>
      <c r="AH10">
        <v>1</v>
      </c>
      <c r="AI10">
        <v>1</v>
      </c>
      <c r="AJ10" t="s">
        <v>41</v>
      </c>
      <c r="AK10" t="s">
        <v>42</v>
      </c>
      <c r="AM10" t="s">
        <v>43</v>
      </c>
      <c r="AN10">
        <v>59.713577847380797</v>
      </c>
      <c r="AO10" t="s">
        <v>44</v>
      </c>
    </row>
    <row r="11" spans="1:41" x14ac:dyDescent="0.4">
      <c r="A11" t="s">
        <v>45</v>
      </c>
      <c r="B11" t="s">
        <v>52</v>
      </c>
      <c r="C11" t="s">
        <v>51</v>
      </c>
      <c r="D11" t="s">
        <v>53</v>
      </c>
      <c r="E11">
        <v>19</v>
      </c>
      <c r="F11">
        <v>3</v>
      </c>
      <c r="G11">
        <v>4</v>
      </c>
      <c r="H11" t="s">
        <v>53</v>
      </c>
      <c r="I11">
        <v>1</v>
      </c>
      <c r="J11">
        <v>0.41952379996655498</v>
      </c>
      <c r="K11" t="s">
        <v>49</v>
      </c>
      <c r="L11">
        <v>4</v>
      </c>
      <c r="M11">
        <v>3</v>
      </c>
      <c r="N11">
        <v>19</v>
      </c>
      <c r="O11">
        <v>3</v>
      </c>
      <c r="P11">
        <v>23.609769599977799</v>
      </c>
      <c r="U11">
        <v>23.599732099973998</v>
      </c>
      <c r="V11">
        <v>23.609769599977799</v>
      </c>
      <c r="W11">
        <v>24.109416899969801</v>
      </c>
      <c r="X11">
        <v>24.109416899969801</v>
      </c>
      <c r="Y11">
        <v>24.109416899969801</v>
      </c>
      <c r="Z11">
        <v>24.532055499963398</v>
      </c>
      <c r="AA11" t="s">
        <v>53</v>
      </c>
      <c r="AB11">
        <v>1</v>
      </c>
      <c r="AC11">
        <v>0.41952379996655498</v>
      </c>
      <c r="AD11" t="s">
        <v>49</v>
      </c>
      <c r="AH11">
        <v>1</v>
      </c>
      <c r="AI11">
        <v>1</v>
      </c>
      <c r="AJ11" t="s">
        <v>41</v>
      </c>
      <c r="AK11" t="s">
        <v>42</v>
      </c>
      <c r="AM11" t="s">
        <v>43</v>
      </c>
      <c r="AN11">
        <v>59.713577847380797</v>
      </c>
      <c r="AO11" t="s">
        <v>44</v>
      </c>
    </row>
    <row r="12" spans="1:41" x14ac:dyDescent="0.4">
      <c r="A12" t="s">
        <v>45</v>
      </c>
      <c r="B12" t="s">
        <v>46</v>
      </c>
      <c r="C12" t="s">
        <v>47</v>
      </c>
      <c r="D12" t="s">
        <v>48</v>
      </c>
      <c r="E12">
        <v>0</v>
      </c>
      <c r="F12">
        <v>0</v>
      </c>
      <c r="G12">
        <v>0</v>
      </c>
      <c r="H12" t="s">
        <v>48</v>
      </c>
      <c r="I12">
        <v>1</v>
      </c>
      <c r="J12">
        <v>1.78412020002724</v>
      </c>
      <c r="K12" t="s">
        <v>49</v>
      </c>
      <c r="L12">
        <v>0</v>
      </c>
      <c r="M12">
        <v>0</v>
      </c>
      <c r="N12">
        <v>0</v>
      </c>
      <c r="O12">
        <v>2</v>
      </c>
      <c r="P12">
        <v>1.0427976999780999</v>
      </c>
      <c r="U12">
        <v>1.0353731999639399</v>
      </c>
      <c r="V12">
        <v>1.0427976999780999</v>
      </c>
      <c r="W12">
        <v>1.51003269996726</v>
      </c>
      <c r="X12">
        <v>1.51003269996726</v>
      </c>
      <c r="Y12">
        <v>1.51003269996726</v>
      </c>
      <c r="Z12">
        <v>3.32988009997643</v>
      </c>
      <c r="AA12" t="s">
        <v>48</v>
      </c>
      <c r="AB12">
        <v>1</v>
      </c>
      <c r="AC12">
        <v>1.78412020002724</v>
      </c>
      <c r="AD12" t="s">
        <v>49</v>
      </c>
      <c r="AH12">
        <v>1</v>
      </c>
      <c r="AI12">
        <v>1</v>
      </c>
      <c r="AJ12" t="s">
        <v>41</v>
      </c>
      <c r="AK12" t="s">
        <v>42</v>
      </c>
      <c r="AM12" t="s">
        <v>43</v>
      </c>
      <c r="AN12">
        <v>59.713577847380797</v>
      </c>
      <c r="AO12" t="s">
        <v>44</v>
      </c>
    </row>
    <row r="13" spans="1:41" x14ac:dyDescent="0.4">
      <c r="A13" t="s">
        <v>50</v>
      </c>
      <c r="B13" t="s">
        <v>52</v>
      </c>
      <c r="C13" t="s">
        <v>47</v>
      </c>
      <c r="D13" t="s">
        <v>53</v>
      </c>
      <c r="E13">
        <v>2</v>
      </c>
      <c r="F13">
        <v>2</v>
      </c>
      <c r="G13">
        <v>0</v>
      </c>
      <c r="H13" t="s">
        <v>53</v>
      </c>
      <c r="I13">
        <v>1</v>
      </c>
      <c r="J13">
        <v>0.46955590002471498</v>
      </c>
      <c r="K13" t="s">
        <v>49</v>
      </c>
      <c r="L13">
        <v>0</v>
      </c>
      <c r="M13">
        <v>2</v>
      </c>
      <c r="N13">
        <v>2</v>
      </c>
      <c r="O13">
        <v>1</v>
      </c>
      <c r="P13">
        <v>4.5272586999926698</v>
      </c>
      <c r="U13">
        <v>4.5160816999850697</v>
      </c>
      <c r="V13">
        <v>4.5272586999926698</v>
      </c>
      <c r="W13">
        <v>5.0271582999848698</v>
      </c>
      <c r="X13">
        <v>5.0271582999848698</v>
      </c>
      <c r="Y13">
        <v>5.0271582999848698</v>
      </c>
      <c r="Z13">
        <v>5.4989170000189898</v>
      </c>
      <c r="AA13" t="s">
        <v>53</v>
      </c>
      <c r="AB13">
        <v>1</v>
      </c>
      <c r="AC13">
        <v>0.46955590002471498</v>
      </c>
      <c r="AD13" t="s">
        <v>49</v>
      </c>
      <c r="AH13">
        <v>1</v>
      </c>
      <c r="AI13">
        <v>1</v>
      </c>
      <c r="AJ13" t="s">
        <v>41</v>
      </c>
      <c r="AK13" t="s">
        <v>42</v>
      </c>
      <c r="AM13" t="s">
        <v>43</v>
      </c>
      <c r="AN13">
        <v>59.713577847380797</v>
      </c>
      <c r="AO13" t="s">
        <v>44</v>
      </c>
    </row>
    <row r="14" spans="1:41" x14ac:dyDescent="0.4">
      <c r="A14" t="s">
        <v>45</v>
      </c>
      <c r="B14" t="s">
        <v>46</v>
      </c>
      <c r="C14" t="s">
        <v>47</v>
      </c>
      <c r="D14" t="s">
        <v>48</v>
      </c>
      <c r="E14">
        <v>6</v>
      </c>
      <c r="F14">
        <v>2</v>
      </c>
      <c r="G14">
        <v>1</v>
      </c>
      <c r="H14" t="s">
        <v>48</v>
      </c>
      <c r="I14">
        <v>1</v>
      </c>
      <c r="J14">
        <v>0.70637149998219595</v>
      </c>
      <c r="K14" t="s">
        <v>49</v>
      </c>
      <c r="L14">
        <v>1</v>
      </c>
      <c r="M14">
        <v>2</v>
      </c>
      <c r="N14">
        <v>6</v>
      </c>
      <c r="O14">
        <v>2</v>
      </c>
      <c r="P14">
        <v>8.4932629999821003</v>
      </c>
      <c r="U14">
        <v>8.4829827999928895</v>
      </c>
      <c r="V14">
        <v>8.4932629999821003</v>
      </c>
      <c r="W14">
        <v>8.9930867999792099</v>
      </c>
      <c r="X14">
        <v>8.9930867999792099</v>
      </c>
      <c r="Y14">
        <v>8.9930867999792099</v>
      </c>
      <c r="Z14">
        <v>9.71503490000031</v>
      </c>
      <c r="AA14" t="s">
        <v>48</v>
      </c>
      <c r="AB14">
        <v>1</v>
      </c>
      <c r="AC14">
        <v>0.70637149998219595</v>
      </c>
      <c r="AD14" t="s">
        <v>49</v>
      </c>
      <c r="AH14">
        <v>1</v>
      </c>
      <c r="AI14">
        <v>1</v>
      </c>
      <c r="AJ14" t="s">
        <v>41</v>
      </c>
      <c r="AK14" t="s">
        <v>42</v>
      </c>
      <c r="AM14" t="s">
        <v>43</v>
      </c>
      <c r="AN14">
        <v>59.713577847380797</v>
      </c>
      <c r="AO14" t="s">
        <v>44</v>
      </c>
    </row>
    <row r="15" spans="1:41" x14ac:dyDescent="0.4">
      <c r="A15" t="s">
        <v>50</v>
      </c>
      <c r="B15" t="s">
        <v>52</v>
      </c>
      <c r="C15" t="s">
        <v>47</v>
      </c>
      <c r="D15" t="s">
        <v>53</v>
      </c>
      <c r="E15">
        <v>7</v>
      </c>
      <c r="F15">
        <v>3</v>
      </c>
      <c r="G15">
        <v>1</v>
      </c>
      <c r="H15" t="s">
        <v>53</v>
      </c>
      <c r="I15">
        <v>1</v>
      </c>
      <c r="J15">
        <v>0.40811280003981598</v>
      </c>
      <c r="K15" t="s">
        <v>49</v>
      </c>
      <c r="L15">
        <v>1</v>
      </c>
      <c r="M15">
        <v>3</v>
      </c>
      <c r="N15">
        <v>7</v>
      </c>
      <c r="O15">
        <v>1</v>
      </c>
      <c r="P15">
        <v>9.7267114999703992</v>
      </c>
      <c r="U15">
        <v>9.7192023000097798</v>
      </c>
      <c r="V15">
        <v>9.7267114999703992</v>
      </c>
      <c r="W15">
        <v>10.2273449999629</v>
      </c>
      <c r="X15">
        <v>10.2273449999629</v>
      </c>
      <c r="Y15">
        <v>10.2273449999629</v>
      </c>
      <c r="Z15">
        <v>10.6496977999922</v>
      </c>
      <c r="AA15" t="s">
        <v>53</v>
      </c>
      <c r="AB15">
        <v>1</v>
      </c>
      <c r="AC15">
        <v>0.40811280003981598</v>
      </c>
      <c r="AD15" t="s">
        <v>49</v>
      </c>
      <c r="AH15">
        <v>1</v>
      </c>
      <c r="AI15">
        <v>1</v>
      </c>
      <c r="AJ15" t="s">
        <v>41</v>
      </c>
      <c r="AK15" t="s">
        <v>42</v>
      </c>
      <c r="AM15" t="s">
        <v>43</v>
      </c>
      <c r="AN15">
        <v>59.713577847380797</v>
      </c>
      <c r="AO15" t="s">
        <v>44</v>
      </c>
    </row>
    <row r="16" spans="1:41" x14ac:dyDescent="0.4">
      <c r="A16" t="s">
        <v>45</v>
      </c>
      <c r="B16" t="s">
        <v>46</v>
      </c>
      <c r="C16" t="s">
        <v>47</v>
      </c>
      <c r="D16" t="s">
        <v>48</v>
      </c>
      <c r="E16">
        <v>8</v>
      </c>
      <c r="F16">
        <v>0</v>
      </c>
      <c r="G16">
        <v>2</v>
      </c>
      <c r="H16" t="s">
        <v>48</v>
      </c>
      <c r="I16">
        <v>1</v>
      </c>
      <c r="J16">
        <v>0.493190599954687</v>
      </c>
      <c r="K16" t="s">
        <v>49</v>
      </c>
      <c r="L16">
        <v>2</v>
      </c>
      <c r="M16">
        <v>0</v>
      </c>
      <c r="N16">
        <v>8</v>
      </c>
      <c r="O16">
        <v>2</v>
      </c>
      <c r="P16">
        <v>10.659934700000999</v>
      </c>
      <c r="U16">
        <v>10.6544634000165</v>
      </c>
      <c r="V16">
        <v>10.659934700000999</v>
      </c>
      <c r="W16">
        <v>11.160109999996999</v>
      </c>
      <c r="X16">
        <v>11.160109999996999</v>
      </c>
      <c r="Y16">
        <v>11.160109999996999</v>
      </c>
      <c r="Z16">
        <v>11.663362099963701</v>
      </c>
      <c r="AA16" t="s">
        <v>48</v>
      </c>
      <c r="AB16">
        <v>1</v>
      </c>
      <c r="AC16">
        <v>0.493190599954687</v>
      </c>
      <c r="AD16" t="s">
        <v>49</v>
      </c>
      <c r="AH16">
        <v>1</v>
      </c>
      <c r="AI16">
        <v>1</v>
      </c>
      <c r="AJ16" t="s">
        <v>41</v>
      </c>
      <c r="AK16" t="s">
        <v>42</v>
      </c>
      <c r="AM16" t="s">
        <v>43</v>
      </c>
      <c r="AN16">
        <v>59.713577847380797</v>
      </c>
      <c r="AO16" t="s">
        <v>44</v>
      </c>
    </row>
    <row r="17" spans="1:41" x14ac:dyDescent="0.4">
      <c r="A17" t="s">
        <v>50</v>
      </c>
      <c r="B17" t="s">
        <v>52</v>
      </c>
      <c r="C17" t="s">
        <v>47</v>
      </c>
      <c r="D17" t="s">
        <v>53</v>
      </c>
      <c r="E17">
        <v>9</v>
      </c>
      <c r="F17">
        <v>1</v>
      </c>
      <c r="G17">
        <v>2</v>
      </c>
      <c r="H17" t="s">
        <v>53</v>
      </c>
      <c r="I17">
        <v>1</v>
      </c>
      <c r="J17">
        <v>0.85406929999589898</v>
      </c>
      <c r="K17" t="s">
        <v>49</v>
      </c>
      <c r="L17">
        <v>2</v>
      </c>
      <c r="M17">
        <v>1</v>
      </c>
      <c r="N17">
        <v>9</v>
      </c>
      <c r="O17">
        <v>1</v>
      </c>
      <c r="P17">
        <v>11.6766781000187</v>
      </c>
      <c r="U17">
        <v>11.666251699964</v>
      </c>
      <c r="V17">
        <v>11.6766781000187</v>
      </c>
      <c r="W17">
        <v>12.176724899967599</v>
      </c>
      <c r="X17">
        <v>12.176724899967599</v>
      </c>
      <c r="Y17">
        <v>12.176724899967599</v>
      </c>
      <c r="Z17">
        <v>13.046507799997899</v>
      </c>
      <c r="AA17" t="s">
        <v>53</v>
      </c>
      <c r="AB17">
        <v>1</v>
      </c>
      <c r="AC17">
        <v>0.85406929999589898</v>
      </c>
      <c r="AD17" t="s">
        <v>49</v>
      </c>
      <c r="AH17">
        <v>1</v>
      </c>
      <c r="AI17">
        <v>1</v>
      </c>
      <c r="AJ17" t="s">
        <v>41</v>
      </c>
      <c r="AK17" t="s">
        <v>42</v>
      </c>
      <c r="AM17" t="s">
        <v>43</v>
      </c>
      <c r="AN17">
        <v>59.713577847380797</v>
      </c>
      <c r="AO17" t="s">
        <v>44</v>
      </c>
    </row>
    <row r="18" spans="1:41" x14ac:dyDescent="0.4">
      <c r="A18" t="s">
        <v>50</v>
      </c>
      <c r="B18" t="s">
        <v>52</v>
      </c>
      <c r="C18" t="s">
        <v>47</v>
      </c>
      <c r="D18" t="s">
        <v>53</v>
      </c>
      <c r="E18">
        <v>13</v>
      </c>
      <c r="F18">
        <v>1</v>
      </c>
      <c r="G18">
        <v>3</v>
      </c>
      <c r="H18" t="s">
        <v>53</v>
      </c>
      <c r="I18">
        <v>1</v>
      </c>
      <c r="J18">
        <v>0.71062389999860898</v>
      </c>
      <c r="K18" t="s">
        <v>49</v>
      </c>
      <c r="L18">
        <v>3</v>
      </c>
      <c r="M18">
        <v>1</v>
      </c>
      <c r="N18">
        <v>13</v>
      </c>
      <c r="O18">
        <v>1</v>
      </c>
      <c r="P18">
        <v>16.326224999967899</v>
      </c>
      <c r="U18">
        <v>16.315796200011299</v>
      </c>
      <c r="V18">
        <v>16.326224999967899</v>
      </c>
      <c r="W18">
        <v>16.8268293999717</v>
      </c>
      <c r="X18">
        <v>16.8268293999717</v>
      </c>
      <c r="Y18">
        <v>16.8268293999717</v>
      </c>
      <c r="Z18">
        <v>17.549865100008901</v>
      </c>
      <c r="AA18" t="s">
        <v>53</v>
      </c>
      <c r="AB18">
        <v>1</v>
      </c>
      <c r="AC18">
        <v>0.71062389999860898</v>
      </c>
      <c r="AD18" t="s">
        <v>49</v>
      </c>
      <c r="AH18">
        <v>1</v>
      </c>
      <c r="AI18">
        <v>1</v>
      </c>
      <c r="AJ18" t="s">
        <v>41</v>
      </c>
      <c r="AK18" t="s">
        <v>42</v>
      </c>
      <c r="AM18" t="s">
        <v>43</v>
      </c>
      <c r="AN18">
        <v>59.713577847380797</v>
      </c>
      <c r="AO18" t="s">
        <v>44</v>
      </c>
    </row>
    <row r="19" spans="1:41" x14ac:dyDescent="0.4">
      <c r="A19" t="s">
        <v>45</v>
      </c>
      <c r="B19" t="s">
        <v>46</v>
      </c>
      <c r="C19" t="s">
        <v>47</v>
      </c>
      <c r="D19" t="s">
        <v>48</v>
      </c>
      <c r="E19">
        <v>14</v>
      </c>
      <c r="F19">
        <v>2</v>
      </c>
      <c r="G19">
        <v>3</v>
      </c>
      <c r="H19" t="s">
        <v>48</v>
      </c>
      <c r="I19">
        <v>1</v>
      </c>
      <c r="J19">
        <v>1.07638460001908</v>
      </c>
      <c r="K19" t="s">
        <v>49</v>
      </c>
      <c r="L19">
        <v>3</v>
      </c>
      <c r="M19">
        <v>2</v>
      </c>
      <c r="N19">
        <v>14</v>
      </c>
      <c r="O19">
        <v>2</v>
      </c>
      <c r="P19">
        <v>17.560550900001498</v>
      </c>
      <c r="U19">
        <v>17.554360100009902</v>
      </c>
      <c r="V19">
        <v>17.560550900001498</v>
      </c>
      <c r="W19">
        <v>18.0595217999652</v>
      </c>
      <c r="X19">
        <v>18.0595217999652</v>
      </c>
      <c r="Y19">
        <v>18.0595217999652</v>
      </c>
      <c r="Z19">
        <v>19.146996299969</v>
      </c>
      <c r="AA19" t="s">
        <v>48</v>
      </c>
      <c r="AB19">
        <v>1</v>
      </c>
      <c r="AC19">
        <v>1.07638460001908</v>
      </c>
      <c r="AD19" t="s">
        <v>49</v>
      </c>
      <c r="AH19">
        <v>1</v>
      </c>
      <c r="AI19">
        <v>1</v>
      </c>
      <c r="AJ19" t="s">
        <v>41</v>
      </c>
      <c r="AK19" t="s">
        <v>42</v>
      </c>
      <c r="AM19" t="s">
        <v>43</v>
      </c>
      <c r="AN19">
        <v>59.713577847380797</v>
      </c>
      <c r="AO19" t="s">
        <v>44</v>
      </c>
    </row>
    <row r="20" spans="1:41" x14ac:dyDescent="0.4">
      <c r="A20" t="s">
        <v>45</v>
      </c>
      <c r="B20" t="s">
        <v>46</v>
      </c>
      <c r="C20" t="s">
        <v>47</v>
      </c>
      <c r="D20" t="s">
        <v>48</v>
      </c>
      <c r="E20">
        <v>16</v>
      </c>
      <c r="F20">
        <v>0</v>
      </c>
      <c r="G20">
        <v>4</v>
      </c>
      <c r="H20" t="s">
        <v>48</v>
      </c>
      <c r="I20">
        <v>1</v>
      </c>
      <c r="J20">
        <v>0.58971809997456104</v>
      </c>
      <c r="K20" t="s">
        <v>49</v>
      </c>
      <c r="L20">
        <v>4</v>
      </c>
      <c r="M20">
        <v>0</v>
      </c>
      <c r="N20">
        <v>16</v>
      </c>
      <c r="O20">
        <v>2</v>
      </c>
      <c r="P20">
        <v>20.326532299979501</v>
      </c>
      <c r="U20">
        <v>20.3162794999661</v>
      </c>
      <c r="V20">
        <v>20.326532299979501</v>
      </c>
      <c r="W20">
        <v>20.826831899990701</v>
      </c>
      <c r="X20">
        <v>20.826831899990701</v>
      </c>
      <c r="Y20">
        <v>20.826831899990701</v>
      </c>
      <c r="Z20">
        <v>21.431862699973799</v>
      </c>
      <c r="AA20" t="s">
        <v>48</v>
      </c>
      <c r="AB20">
        <v>1</v>
      </c>
      <c r="AC20">
        <v>0.58971809997456104</v>
      </c>
      <c r="AD20" t="s">
        <v>49</v>
      </c>
      <c r="AH20">
        <v>1</v>
      </c>
      <c r="AI20">
        <v>1</v>
      </c>
      <c r="AJ20" t="s">
        <v>41</v>
      </c>
      <c r="AK20" t="s">
        <v>42</v>
      </c>
      <c r="AM20" t="s">
        <v>43</v>
      </c>
      <c r="AN20">
        <v>59.713577847380797</v>
      </c>
      <c r="AO20" t="s">
        <v>44</v>
      </c>
    </row>
    <row r="21" spans="1:41" x14ac:dyDescent="0.4">
      <c r="A21" t="s">
        <v>50</v>
      </c>
      <c r="B21" t="s">
        <v>52</v>
      </c>
      <c r="C21" t="s">
        <v>47</v>
      </c>
      <c r="D21" t="s">
        <v>53</v>
      </c>
      <c r="E21">
        <v>18</v>
      </c>
      <c r="F21">
        <v>2</v>
      </c>
      <c r="G21">
        <v>4</v>
      </c>
      <c r="H21" t="s">
        <v>53</v>
      </c>
      <c r="I21">
        <v>1</v>
      </c>
      <c r="J21">
        <v>0.47589319996768598</v>
      </c>
      <c r="K21" t="s">
        <v>49</v>
      </c>
      <c r="L21">
        <v>4</v>
      </c>
      <c r="M21">
        <v>2</v>
      </c>
      <c r="N21">
        <v>18</v>
      </c>
      <c r="O21">
        <v>1</v>
      </c>
      <c r="P21">
        <v>22.609494799980801</v>
      </c>
      <c r="U21">
        <v>22.595653099997399</v>
      </c>
      <c r="V21">
        <v>22.609494799980801</v>
      </c>
      <c r="W21">
        <v>23.109887099999401</v>
      </c>
      <c r="X21">
        <v>23.109887099999401</v>
      </c>
      <c r="Y21">
        <v>23.109887099999401</v>
      </c>
      <c r="Z21">
        <v>23.596738099993601</v>
      </c>
      <c r="AA21" t="s">
        <v>53</v>
      </c>
      <c r="AB21">
        <v>1</v>
      </c>
      <c r="AC21">
        <v>0.47589319996768598</v>
      </c>
      <c r="AD21" t="s">
        <v>49</v>
      </c>
      <c r="AH21">
        <v>1</v>
      </c>
      <c r="AI21">
        <v>1</v>
      </c>
      <c r="AJ21" t="s">
        <v>41</v>
      </c>
      <c r="AK21" t="s">
        <v>42</v>
      </c>
      <c r="AM21" t="s">
        <v>43</v>
      </c>
      <c r="AN21">
        <v>59.713577847380797</v>
      </c>
      <c r="AO21" t="s">
        <v>44</v>
      </c>
    </row>
    <row r="22" spans="1:41" x14ac:dyDescent="0.4">
      <c r="R22">
        <v>3.3438500016927698E-2</v>
      </c>
      <c r="S22">
        <v>4.3178199965041103E-2</v>
      </c>
      <c r="T22">
        <v>1.01512749999528</v>
      </c>
      <c r="AH22">
        <v>1</v>
      </c>
      <c r="AI22">
        <v>1</v>
      </c>
      <c r="AJ22" t="s">
        <v>41</v>
      </c>
      <c r="AK22" t="s">
        <v>42</v>
      </c>
      <c r="AM22" t="s">
        <v>43</v>
      </c>
      <c r="AN22">
        <v>59.713577847380797</v>
      </c>
      <c r="AO22" t="s">
        <v>44</v>
      </c>
    </row>
    <row r="23" spans="1:41" x14ac:dyDescent="0.4">
      <c r="AE23">
        <v>24.532299500016901</v>
      </c>
      <c r="AF23">
        <v>24.544181599980199</v>
      </c>
      <c r="AG23">
        <v>25.545570699963701</v>
      </c>
      <c r="AH23">
        <v>1</v>
      </c>
      <c r="AI23">
        <v>1</v>
      </c>
      <c r="AJ23" t="s">
        <v>41</v>
      </c>
      <c r="AK23" t="s">
        <v>42</v>
      </c>
      <c r="AM23" t="s">
        <v>43</v>
      </c>
      <c r="AN23">
        <v>59.713577847380797</v>
      </c>
      <c r="AO23" t="s">
        <v>44</v>
      </c>
    </row>
  </sheetData>
  <sortState xmlns:xlrd2="http://schemas.microsoft.com/office/spreadsheetml/2017/richdata2" ref="A2:AO23">
    <sortCondition ref="C1:C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CFB0-45A0-4CE9-9B05-441C86DAD244}">
  <dimension ref="A1:AP23"/>
  <sheetViews>
    <sheetView workbookViewId="0">
      <selection activeCell="I1" sqref="I1:I1048576"/>
    </sheetView>
  </sheetViews>
  <sheetFormatPr defaultRowHeight="14.6" x14ac:dyDescent="0.4"/>
  <sheetData>
    <row r="1" spans="1:4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54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4">
      <c r="A2" t="s">
        <v>50</v>
      </c>
      <c r="B2" t="s">
        <v>46</v>
      </c>
      <c r="C2" t="s">
        <v>51</v>
      </c>
      <c r="D2" t="s">
        <v>48</v>
      </c>
      <c r="E2">
        <v>0</v>
      </c>
      <c r="F2">
        <v>0</v>
      </c>
      <c r="G2">
        <v>0</v>
      </c>
      <c r="H2" t="s">
        <v>48</v>
      </c>
      <c r="I2">
        <v>1</v>
      </c>
      <c r="J2">
        <v>0.47801040002377698</v>
      </c>
      <c r="K2" t="s">
        <v>49</v>
      </c>
      <c r="L2">
        <v>0</v>
      </c>
      <c r="M2">
        <v>0</v>
      </c>
      <c r="N2">
        <v>0</v>
      </c>
      <c r="O2">
        <v>0</v>
      </c>
      <c r="P2">
        <v>1.0435864999890301</v>
      </c>
      <c r="U2">
        <v>1.0273594000027499</v>
      </c>
      <c r="V2">
        <v>1.0435864999890301</v>
      </c>
      <c r="W2">
        <v>1.5108043000218401</v>
      </c>
      <c r="X2">
        <v>1.5108043000218401</v>
      </c>
      <c r="Y2">
        <v>1.5108043000218401</v>
      </c>
      <c r="Z2">
        <v>2.0099864999647199</v>
      </c>
      <c r="AA2" t="s">
        <v>48</v>
      </c>
      <c r="AB2">
        <v>1</v>
      </c>
      <c r="AC2">
        <v>0.47801040002377698</v>
      </c>
      <c r="AD2" t="s">
        <v>49</v>
      </c>
      <c r="AI2">
        <v>2</v>
      </c>
      <c r="AJ2">
        <v>1</v>
      </c>
      <c r="AK2" t="s">
        <v>55</v>
      </c>
      <c r="AL2" t="s">
        <v>42</v>
      </c>
      <c r="AN2" t="s">
        <v>43</v>
      </c>
      <c r="AO2">
        <v>60.019650422470598</v>
      </c>
      <c r="AP2" t="s">
        <v>56</v>
      </c>
    </row>
    <row r="3" spans="1:42" x14ac:dyDescent="0.4">
      <c r="A3" t="s">
        <v>45</v>
      </c>
      <c r="B3" t="s">
        <v>52</v>
      </c>
      <c r="C3" t="s">
        <v>51</v>
      </c>
      <c r="D3" t="s">
        <v>53</v>
      </c>
      <c r="E3">
        <v>2</v>
      </c>
      <c r="F3">
        <v>2</v>
      </c>
      <c r="G3">
        <v>0</v>
      </c>
      <c r="H3" t="s">
        <v>53</v>
      </c>
      <c r="I3">
        <v>1</v>
      </c>
      <c r="J3">
        <v>0.54998900002101403</v>
      </c>
      <c r="K3" t="s">
        <v>49</v>
      </c>
      <c r="L3">
        <v>0</v>
      </c>
      <c r="M3">
        <v>2</v>
      </c>
      <c r="N3">
        <v>2</v>
      </c>
      <c r="O3">
        <v>3</v>
      </c>
      <c r="P3">
        <v>2.9105120999738499</v>
      </c>
      <c r="U3">
        <v>2.9051256999955499</v>
      </c>
      <c r="V3">
        <v>2.9105120999738499</v>
      </c>
      <c r="W3">
        <v>3.4108018999686398</v>
      </c>
      <c r="X3">
        <v>3.4108018999686398</v>
      </c>
      <c r="Y3">
        <v>3.4108018999686398</v>
      </c>
      <c r="Z3">
        <v>3.9664219999685799</v>
      </c>
      <c r="AA3" t="s">
        <v>53</v>
      </c>
      <c r="AB3">
        <v>1</v>
      </c>
      <c r="AC3">
        <v>0.54998900002101403</v>
      </c>
      <c r="AD3" t="s">
        <v>49</v>
      </c>
      <c r="AI3">
        <v>2</v>
      </c>
      <c r="AJ3">
        <v>1</v>
      </c>
      <c r="AK3" t="s">
        <v>55</v>
      </c>
      <c r="AL3" t="s">
        <v>42</v>
      </c>
      <c r="AN3" t="s">
        <v>43</v>
      </c>
      <c r="AO3">
        <v>60.019650422470598</v>
      </c>
      <c r="AP3" t="s">
        <v>56</v>
      </c>
    </row>
    <row r="4" spans="1:42" x14ac:dyDescent="0.4">
      <c r="A4" t="s">
        <v>50</v>
      </c>
      <c r="B4" t="s">
        <v>46</v>
      </c>
      <c r="C4" t="s">
        <v>51</v>
      </c>
      <c r="D4" t="s">
        <v>48</v>
      </c>
      <c r="E4">
        <v>5</v>
      </c>
      <c r="F4">
        <v>1</v>
      </c>
      <c r="G4">
        <v>1</v>
      </c>
      <c r="H4" t="s">
        <v>48</v>
      </c>
      <c r="I4">
        <v>1</v>
      </c>
      <c r="J4">
        <v>0.61141640000278097</v>
      </c>
      <c r="K4" t="s">
        <v>49</v>
      </c>
      <c r="L4">
        <v>1</v>
      </c>
      <c r="M4">
        <v>1</v>
      </c>
      <c r="N4">
        <v>5</v>
      </c>
      <c r="O4">
        <v>0</v>
      </c>
      <c r="P4">
        <v>5.8940756999654598</v>
      </c>
      <c r="U4">
        <v>5.8866689999704196</v>
      </c>
      <c r="V4">
        <v>5.8940756999654598</v>
      </c>
      <c r="W4">
        <v>6.3940988999675001</v>
      </c>
      <c r="X4">
        <v>6.3940988999675001</v>
      </c>
      <c r="Y4">
        <v>6.3940988999675001</v>
      </c>
      <c r="Z4">
        <v>7.0132526999805096</v>
      </c>
      <c r="AA4" t="s">
        <v>48</v>
      </c>
      <c r="AB4">
        <v>1</v>
      </c>
      <c r="AC4">
        <v>0.61141640000278097</v>
      </c>
      <c r="AD4" t="s">
        <v>49</v>
      </c>
      <c r="AI4">
        <v>2</v>
      </c>
      <c r="AJ4">
        <v>1</v>
      </c>
      <c r="AK4" t="s">
        <v>55</v>
      </c>
      <c r="AL4" t="s">
        <v>42</v>
      </c>
      <c r="AN4" t="s">
        <v>43</v>
      </c>
      <c r="AO4">
        <v>60.019650422470598</v>
      </c>
      <c r="AP4" t="s">
        <v>56</v>
      </c>
    </row>
    <row r="5" spans="1:42" x14ac:dyDescent="0.4">
      <c r="A5" t="s">
        <v>45</v>
      </c>
      <c r="B5" t="s">
        <v>52</v>
      </c>
      <c r="C5" t="s">
        <v>51</v>
      </c>
      <c r="D5" t="s">
        <v>53</v>
      </c>
      <c r="E5">
        <v>7</v>
      </c>
      <c r="F5">
        <v>3</v>
      </c>
      <c r="G5">
        <v>1</v>
      </c>
      <c r="H5" t="s">
        <v>53</v>
      </c>
      <c r="I5">
        <v>1</v>
      </c>
      <c r="J5">
        <v>0.413367000001017</v>
      </c>
      <c r="K5" t="s">
        <v>49</v>
      </c>
      <c r="L5">
        <v>1</v>
      </c>
      <c r="M5">
        <v>3</v>
      </c>
      <c r="N5">
        <v>7</v>
      </c>
      <c r="O5">
        <v>3</v>
      </c>
      <c r="P5">
        <v>8.0438110000104608</v>
      </c>
      <c r="U5">
        <v>8.0333527000038796</v>
      </c>
      <c r="V5">
        <v>8.0438110000104608</v>
      </c>
      <c r="W5">
        <v>8.5447334999917004</v>
      </c>
      <c r="X5">
        <v>8.5447334999917004</v>
      </c>
      <c r="Y5">
        <v>8.5447334999917004</v>
      </c>
      <c r="Z5">
        <v>8.9660696000209992</v>
      </c>
      <c r="AA5" t="s">
        <v>53</v>
      </c>
      <c r="AB5">
        <v>1</v>
      </c>
      <c r="AC5">
        <v>0.413367000001017</v>
      </c>
      <c r="AD5" t="s">
        <v>49</v>
      </c>
      <c r="AI5">
        <v>2</v>
      </c>
      <c r="AJ5">
        <v>1</v>
      </c>
      <c r="AK5" t="s">
        <v>55</v>
      </c>
      <c r="AL5" t="s">
        <v>42</v>
      </c>
      <c r="AN5" t="s">
        <v>43</v>
      </c>
      <c r="AO5">
        <v>60.019650422470598</v>
      </c>
      <c r="AP5" t="s">
        <v>56</v>
      </c>
    </row>
    <row r="6" spans="1:42" x14ac:dyDescent="0.4">
      <c r="A6" t="s">
        <v>45</v>
      </c>
      <c r="B6" t="s">
        <v>52</v>
      </c>
      <c r="C6" t="s">
        <v>51</v>
      </c>
      <c r="D6" t="s">
        <v>53</v>
      </c>
      <c r="E6">
        <v>8</v>
      </c>
      <c r="F6">
        <v>0</v>
      </c>
      <c r="G6">
        <v>2</v>
      </c>
      <c r="H6" t="s">
        <v>48</v>
      </c>
      <c r="I6">
        <v>0</v>
      </c>
      <c r="J6">
        <v>0.41571109998039901</v>
      </c>
      <c r="K6" t="s">
        <v>49</v>
      </c>
      <c r="L6">
        <v>2</v>
      </c>
      <c r="M6">
        <v>0</v>
      </c>
      <c r="N6">
        <v>8</v>
      </c>
      <c r="O6">
        <v>3</v>
      </c>
      <c r="P6">
        <v>8.9773569999961094</v>
      </c>
      <c r="U6">
        <v>8.96679560001939</v>
      </c>
      <c r="V6">
        <v>8.9773569999961094</v>
      </c>
      <c r="W6">
        <v>9.4772097999812104</v>
      </c>
      <c r="X6">
        <v>9.4772097999812104</v>
      </c>
      <c r="Y6">
        <v>9.4772097999812104</v>
      </c>
      <c r="Z6">
        <v>9.9000890000024793</v>
      </c>
      <c r="AA6" t="s">
        <v>48</v>
      </c>
      <c r="AB6">
        <v>0</v>
      </c>
      <c r="AC6">
        <v>0.41571109998039901</v>
      </c>
      <c r="AD6" t="s">
        <v>49</v>
      </c>
      <c r="AI6">
        <v>2</v>
      </c>
      <c r="AJ6">
        <v>1</v>
      </c>
      <c r="AK6" t="s">
        <v>55</v>
      </c>
      <c r="AL6" t="s">
        <v>42</v>
      </c>
      <c r="AN6" t="s">
        <v>43</v>
      </c>
      <c r="AO6">
        <v>60.019650422470598</v>
      </c>
      <c r="AP6" t="s">
        <v>56</v>
      </c>
    </row>
    <row r="7" spans="1:42" x14ac:dyDescent="0.4">
      <c r="A7" t="s">
        <v>50</v>
      </c>
      <c r="B7" t="s">
        <v>46</v>
      </c>
      <c r="C7" t="s">
        <v>51</v>
      </c>
      <c r="D7" t="s">
        <v>48</v>
      </c>
      <c r="E7">
        <v>9</v>
      </c>
      <c r="F7">
        <v>1</v>
      </c>
      <c r="G7">
        <v>2</v>
      </c>
      <c r="H7" t="s">
        <v>48</v>
      </c>
      <c r="I7">
        <v>1</v>
      </c>
      <c r="J7">
        <v>0.96558530000038401</v>
      </c>
      <c r="K7" t="s">
        <v>49</v>
      </c>
      <c r="L7">
        <v>2</v>
      </c>
      <c r="M7">
        <v>1</v>
      </c>
      <c r="N7">
        <v>9</v>
      </c>
      <c r="O7">
        <v>0</v>
      </c>
      <c r="P7">
        <v>9.9104949000175093</v>
      </c>
      <c r="U7">
        <v>9.9041864000027999</v>
      </c>
      <c r="V7">
        <v>9.9104949000175093</v>
      </c>
      <c r="W7">
        <v>10.411088399996499</v>
      </c>
      <c r="X7">
        <v>10.411088399996499</v>
      </c>
      <c r="Y7">
        <v>10.411088399996499</v>
      </c>
      <c r="Z7">
        <v>11.384375999972599</v>
      </c>
      <c r="AA7" t="s">
        <v>48</v>
      </c>
      <c r="AB7">
        <v>1</v>
      </c>
      <c r="AC7">
        <v>0.96558530000038401</v>
      </c>
      <c r="AD7" t="s">
        <v>49</v>
      </c>
      <c r="AI7">
        <v>2</v>
      </c>
      <c r="AJ7">
        <v>1</v>
      </c>
      <c r="AK7" t="s">
        <v>55</v>
      </c>
      <c r="AL7" t="s">
        <v>42</v>
      </c>
      <c r="AN7" t="s">
        <v>43</v>
      </c>
      <c r="AO7">
        <v>60.019650422470598</v>
      </c>
      <c r="AP7" t="s">
        <v>56</v>
      </c>
    </row>
    <row r="8" spans="1:42" x14ac:dyDescent="0.4">
      <c r="A8" t="s">
        <v>45</v>
      </c>
      <c r="B8" t="s">
        <v>52</v>
      </c>
      <c r="C8" t="s">
        <v>51</v>
      </c>
      <c r="D8" t="s">
        <v>53</v>
      </c>
      <c r="E8">
        <v>14</v>
      </c>
      <c r="F8">
        <v>2</v>
      </c>
      <c r="G8">
        <v>3</v>
      </c>
      <c r="H8" t="s">
        <v>53</v>
      </c>
      <c r="I8">
        <v>1</v>
      </c>
      <c r="J8">
        <v>1.2264807000174101</v>
      </c>
      <c r="K8" t="s">
        <v>49</v>
      </c>
      <c r="L8">
        <v>3</v>
      </c>
      <c r="M8">
        <v>2</v>
      </c>
      <c r="N8">
        <v>14</v>
      </c>
      <c r="O8">
        <v>3</v>
      </c>
      <c r="P8">
        <v>17.177262899989699</v>
      </c>
      <c r="U8">
        <v>17.167767199978599</v>
      </c>
      <c r="V8">
        <v>17.177262899989699</v>
      </c>
      <c r="W8">
        <v>17.677324399992301</v>
      </c>
      <c r="X8">
        <v>17.677324399992301</v>
      </c>
      <c r="Y8">
        <v>17.677324399992301</v>
      </c>
      <c r="Z8">
        <v>18.916511699964701</v>
      </c>
      <c r="AA8" t="s">
        <v>53</v>
      </c>
      <c r="AB8">
        <v>1</v>
      </c>
      <c r="AC8">
        <v>1.2264807000174101</v>
      </c>
      <c r="AD8" t="s">
        <v>49</v>
      </c>
      <c r="AI8">
        <v>2</v>
      </c>
      <c r="AJ8">
        <v>1</v>
      </c>
      <c r="AK8" t="s">
        <v>55</v>
      </c>
      <c r="AL8" t="s">
        <v>42</v>
      </c>
      <c r="AN8" t="s">
        <v>43</v>
      </c>
      <c r="AO8">
        <v>60.019650422470598</v>
      </c>
      <c r="AP8" t="s">
        <v>56</v>
      </c>
    </row>
    <row r="9" spans="1:42" x14ac:dyDescent="0.4">
      <c r="A9" t="s">
        <v>50</v>
      </c>
      <c r="B9" t="s">
        <v>46</v>
      </c>
      <c r="C9" t="s">
        <v>51</v>
      </c>
      <c r="D9" t="s">
        <v>48</v>
      </c>
      <c r="E9">
        <v>15</v>
      </c>
      <c r="F9">
        <v>3</v>
      </c>
      <c r="G9">
        <v>3</v>
      </c>
      <c r="H9" t="s">
        <v>48</v>
      </c>
      <c r="I9">
        <v>1</v>
      </c>
      <c r="J9">
        <v>0.64601160003803604</v>
      </c>
      <c r="K9" t="s">
        <v>49</v>
      </c>
      <c r="L9">
        <v>3</v>
      </c>
      <c r="M9">
        <v>3</v>
      </c>
      <c r="N9">
        <v>15</v>
      </c>
      <c r="O9">
        <v>0</v>
      </c>
      <c r="P9">
        <v>18.927424900000901</v>
      </c>
      <c r="U9">
        <v>18.920723300019699</v>
      </c>
      <c r="V9">
        <v>18.927424900000901</v>
      </c>
      <c r="W9">
        <v>19.4273757999762</v>
      </c>
      <c r="X9">
        <v>19.4273757999762</v>
      </c>
      <c r="Y9">
        <v>19.4273757999762</v>
      </c>
      <c r="Z9">
        <v>20.0820666999788</v>
      </c>
      <c r="AA9" t="s">
        <v>48</v>
      </c>
      <c r="AB9">
        <v>1</v>
      </c>
      <c r="AC9">
        <v>0.64601160003803604</v>
      </c>
      <c r="AD9" t="s">
        <v>49</v>
      </c>
      <c r="AI9">
        <v>2</v>
      </c>
      <c r="AJ9">
        <v>1</v>
      </c>
      <c r="AK9" t="s">
        <v>55</v>
      </c>
      <c r="AL9" t="s">
        <v>42</v>
      </c>
      <c r="AN9" t="s">
        <v>43</v>
      </c>
      <c r="AO9">
        <v>60.019650422470598</v>
      </c>
      <c r="AP9" t="s">
        <v>56</v>
      </c>
    </row>
    <row r="10" spans="1:42" x14ac:dyDescent="0.4">
      <c r="A10" t="s">
        <v>50</v>
      </c>
      <c r="B10" t="s">
        <v>46</v>
      </c>
      <c r="C10" t="s">
        <v>51</v>
      </c>
      <c r="D10" t="s">
        <v>48</v>
      </c>
      <c r="E10">
        <v>16</v>
      </c>
      <c r="F10">
        <v>0</v>
      </c>
      <c r="G10">
        <v>4</v>
      </c>
      <c r="H10" t="s">
        <v>48</v>
      </c>
      <c r="I10">
        <v>1</v>
      </c>
      <c r="J10">
        <v>0.73970989999361303</v>
      </c>
      <c r="K10" t="s">
        <v>49</v>
      </c>
      <c r="L10">
        <v>4</v>
      </c>
      <c r="M10">
        <v>0</v>
      </c>
      <c r="N10">
        <v>16</v>
      </c>
      <c r="O10">
        <v>0</v>
      </c>
      <c r="P10">
        <v>20.094422199996099</v>
      </c>
      <c r="U10">
        <v>20.082861299975701</v>
      </c>
      <c r="V10">
        <v>20.094422199996099</v>
      </c>
      <c r="W10">
        <v>20.594512199983001</v>
      </c>
      <c r="X10">
        <v>20.594512199983001</v>
      </c>
      <c r="Y10">
        <v>20.594512199983001</v>
      </c>
      <c r="Z10">
        <v>21.3493316000094</v>
      </c>
      <c r="AA10" t="s">
        <v>48</v>
      </c>
      <c r="AB10">
        <v>1</v>
      </c>
      <c r="AC10">
        <v>0.73970989999361303</v>
      </c>
      <c r="AD10" t="s">
        <v>49</v>
      </c>
      <c r="AI10">
        <v>2</v>
      </c>
      <c r="AJ10">
        <v>1</v>
      </c>
      <c r="AK10" t="s">
        <v>55</v>
      </c>
      <c r="AL10" t="s">
        <v>42</v>
      </c>
      <c r="AN10" t="s">
        <v>43</v>
      </c>
      <c r="AO10">
        <v>60.019650422470598</v>
      </c>
      <c r="AP10" t="s">
        <v>56</v>
      </c>
    </row>
    <row r="11" spans="1:42" x14ac:dyDescent="0.4">
      <c r="A11" t="s">
        <v>45</v>
      </c>
      <c r="B11" t="s">
        <v>52</v>
      </c>
      <c r="C11" t="s">
        <v>51</v>
      </c>
      <c r="D11" t="s">
        <v>53</v>
      </c>
      <c r="E11">
        <v>18</v>
      </c>
      <c r="F11">
        <v>2</v>
      </c>
      <c r="G11">
        <v>4</v>
      </c>
      <c r="H11" t="s">
        <v>53</v>
      </c>
      <c r="I11">
        <v>1</v>
      </c>
      <c r="J11">
        <v>0.77807339996797897</v>
      </c>
      <c r="K11" t="s">
        <v>49</v>
      </c>
      <c r="L11">
        <v>4</v>
      </c>
      <c r="M11">
        <v>2</v>
      </c>
      <c r="N11">
        <v>18</v>
      </c>
      <c r="O11">
        <v>3</v>
      </c>
      <c r="P11">
        <v>22.660885899967901</v>
      </c>
      <c r="U11">
        <v>22.648207299993299</v>
      </c>
      <c r="V11">
        <v>22.660885899967901</v>
      </c>
      <c r="W11">
        <v>23.1605243000085</v>
      </c>
      <c r="X11">
        <v>23.1605243000085</v>
      </c>
      <c r="Y11">
        <v>23.1605243000085</v>
      </c>
      <c r="Z11">
        <v>23.950578699994299</v>
      </c>
      <c r="AA11" t="s">
        <v>53</v>
      </c>
      <c r="AB11">
        <v>1</v>
      </c>
      <c r="AC11">
        <v>0.77807339996797897</v>
      </c>
      <c r="AD11" t="s">
        <v>49</v>
      </c>
      <c r="AI11">
        <v>2</v>
      </c>
      <c r="AJ11">
        <v>1</v>
      </c>
      <c r="AK11" t="s">
        <v>55</v>
      </c>
      <c r="AL11" t="s">
        <v>42</v>
      </c>
      <c r="AN11" t="s">
        <v>43</v>
      </c>
      <c r="AO11">
        <v>60.019650422470598</v>
      </c>
      <c r="AP11" t="s">
        <v>56</v>
      </c>
    </row>
    <row r="12" spans="1:42" x14ac:dyDescent="0.4">
      <c r="A12" t="s">
        <v>50</v>
      </c>
      <c r="B12" t="s">
        <v>52</v>
      </c>
      <c r="C12" t="s">
        <v>47</v>
      </c>
      <c r="D12" t="s">
        <v>53</v>
      </c>
      <c r="E12">
        <v>1</v>
      </c>
      <c r="F12">
        <v>1</v>
      </c>
      <c r="G12">
        <v>0</v>
      </c>
      <c r="H12" t="s">
        <v>53</v>
      </c>
      <c r="I12">
        <v>1</v>
      </c>
      <c r="J12">
        <v>0.38004989997716598</v>
      </c>
      <c r="K12" t="s">
        <v>49</v>
      </c>
      <c r="L12">
        <v>0</v>
      </c>
      <c r="M12">
        <v>1</v>
      </c>
      <c r="N12">
        <v>1</v>
      </c>
      <c r="O12">
        <v>1</v>
      </c>
      <c r="P12">
        <v>2.02690599998459</v>
      </c>
      <c r="U12">
        <v>2.0112824999960099</v>
      </c>
      <c r="V12">
        <v>2.02690599998459</v>
      </c>
      <c r="W12">
        <v>2.5105922999791801</v>
      </c>
      <c r="X12">
        <v>2.5105922999791801</v>
      </c>
      <c r="Y12">
        <v>2.5105922999791801</v>
      </c>
      <c r="Z12">
        <v>2.8994336000178</v>
      </c>
      <c r="AA12" t="s">
        <v>53</v>
      </c>
      <c r="AB12">
        <v>1</v>
      </c>
      <c r="AC12">
        <v>0.38004989997716598</v>
      </c>
      <c r="AD12" t="s">
        <v>49</v>
      </c>
      <c r="AI12">
        <v>2</v>
      </c>
      <c r="AJ12">
        <v>1</v>
      </c>
      <c r="AK12" t="s">
        <v>55</v>
      </c>
      <c r="AL12" t="s">
        <v>42</v>
      </c>
      <c r="AN12" t="s">
        <v>43</v>
      </c>
      <c r="AO12">
        <v>60.019650422470598</v>
      </c>
      <c r="AP12" t="s">
        <v>56</v>
      </c>
    </row>
    <row r="13" spans="1:42" x14ac:dyDescent="0.4">
      <c r="A13" t="s">
        <v>45</v>
      </c>
      <c r="B13" t="s">
        <v>46</v>
      </c>
      <c r="C13" t="s">
        <v>47</v>
      </c>
      <c r="D13" t="s">
        <v>48</v>
      </c>
      <c r="E13">
        <v>3</v>
      </c>
      <c r="F13">
        <v>3</v>
      </c>
      <c r="G13">
        <v>0</v>
      </c>
      <c r="H13" t="s">
        <v>48</v>
      </c>
      <c r="I13">
        <v>1</v>
      </c>
      <c r="J13">
        <v>0.460855900018941</v>
      </c>
      <c r="K13" t="s">
        <v>49</v>
      </c>
      <c r="L13">
        <v>0</v>
      </c>
      <c r="M13">
        <v>3</v>
      </c>
      <c r="N13">
        <v>3</v>
      </c>
      <c r="O13">
        <v>2</v>
      </c>
      <c r="P13">
        <v>3.9767259000218398</v>
      </c>
      <c r="U13">
        <v>3.96720449998974</v>
      </c>
      <c r="V13">
        <v>3.9767259000218398</v>
      </c>
      <c r="W13">
        <v>4.4773683999665002</v>
      </c>
      <c r="X13">
        <v>4.4773683999665002</v>
      </c>
      <c r="Y13">
        <v>4.4773683999665002</v>
      </c>
      <c r="Z13">
        <v>4.9464269999880299</v>
      </c>
      <c r="AA13" t="s">
        <v>48</v>
      </c>
      <c r="AB13">
        <v>1</v>
      </c>
      <c r="AC13">
        <v>0.460855900018941</v>
      </c>
      <c r="AD13" t="s">
        <v>49</v>
      </c>
      <c r="AI13">
        <v>2</v>
      </c>
      <c r="AJ13">
        <v>1</v>
      </c>
      <c r="AK13" t="s">
        <v>55</v>
      </c>
      <c r="AL13" t="s">
        <v>42</v>
      </c>
      <c r="AN13" t="s">
        <v>43</v>
      </c>
      <c r="AO13">
        <v>60.019650422470598</v>
      </c>
      <c r="AP13" t="s">
        <v>56</v>
      </c>
    </row>
    <row r="14" spans="1:42" x14ac:dyDescent="0.4">
      <c r="A14" t="s">
        <v>45</v>
      </c>
      <c r="B14" t="s">
        <v>46</v>
      </c>
      <c r="C14" t="s">
        <v>47</v>
      </c>
      <c r="D14" t="s">
        <v>48</v>
      </c>
      <c r="E14">
        <v>4</v>
      </c>
      <c r="F14">
        <v>0</v>
      </c>
      <c r="G14">
        <v>1</v>
      </c>
      <c r="H14" t="s">
        <v>48</v>
      </c>
      <c r="I14">
        <v>1</v>
      </c>
      <c r="J14">
        <v>0.416658099973574</v>
      </c>
      <c r="K14" t="s">
        <v>49</v>
      </c>
      <c r="L14">
        <v>1</v>
      </c>
      <c r="M14">
        <v>0</v>
      </c>
      <c r="N14">
        <v>4</v>
      </c>
      <c r="O14">
        <v>2</v>
      </c>
      <c r="P14">
        <v>4.9605751999770202</v>
      </c>
      <c r="U14">
        <v>4.9467524000210599</v>
      </c>
      <c r="V14">
        <v>4.9605751999770202</v>
      </c>
      <c r="W14">
        <v>5.46034449996659</v>
      </c>
      <c r="X14">
        <v>5.46034449996659</v>
      </c>
      <c r="Y14">
        <v>5.46034449996659</v>
      </c>
      <c r="Z14">
        <v>5.88336779997916</v>
      </c>
      <c r="AA14" t="s">
        <v>48</v>
      </c>
      <c r="AB14">
        <v>1</v>
      </c>
      <c r="AC14">
        <v>0.416658099973574</v>
      </c>
      <c r="AD14" t="s">
        <v>49</v>
      </c>
      <c r="AI14">
        <v>2</v>
      </c>
      <c r="AJ14">
        <v>1</v>
      </c>
      <c r="AK14" t="s">
        <v>55</v>
      </c>
      <c r="AL14" t="s">
        <v>42</v>
      </c>
      <c r="AN14" t="s">
        <v>43</v>
      </c>
      <c r="AO14">
        <v>60.019650422470598</v>
      </c>
      <c r="AP14" t="s">
        <v>56</v>
      </c>
    </row>
    <row r="15" spans="1:42" x14ac:dyDescent="0.4">
      <c r="A15" t="s">
        <v>50</v>
      </c>
      <c r="B15" t="s">
        <v>52</v>
      </c>
      <c r="C15" t="s">
        <v>47</v>
      </c>
      <c r="D15" t="s">
        <v>53</v>
      </c>
      <c r="E15">
        <v>6</v>
      </c>
      <c r="F15">
        <v>2</v>
      </c>
      <c r="G15">
        <v>1</v>
      </c>
      <c r="H15" t="s">
        <v>53</v>
      </c>
      <c r="I15">
        <v>1</v>
      </c>
      <c r="J15">
        <v>0.49903210002230403</v>
      </c>
      <c r="K15" t="s">
        <v>49</v>
      </c>
      <c r="L15">
        <v>1</v>
      </c>
      <c r="M15">
        <v>2</v>
      </c>
      <c r="N15">
        <v>6</v>
      </c>
      <c r="O15">
        <v>1</v>
      </c>
      <c r="P15">
        <v>7.0268869000137704</v>
      </c>
      <c r="U15">
        <v>7.0136099999654098</v>
      </c>
      <c r="V15">
        <v>7.0268869000137704</v>
      </c>
      <c r="W15">
        <v>7.5276470999815501</v>
      </c>
      <c r="X15">
        <v>7.5276470999815501</v>
      </c>
      <c r="Y15">
        <v>7.5276470999815501</v>
      </c>
      <c r="Z15">
        <v>8.0307203999836894</v>
      </c>
      <c r="AA15" t="s">
        <v>53</v>
      </c>
      <c r="AB15">
        <v>1</v>
      </c>
      <c r="AC15">
        <v>0.49903210002230403</v>
      </c>
      <c r="AD15" t="s">
        <v>49</v>
      </c>
      <c r="AI15">
        <v>2</v>
      </c>
      <c r="AJ15">
        <v>1</v>
      </c>
      <c r="AK15" t="s">
        <v>55</v>
      </c>
      <c r="AL15" t="s">
        <v>42</v>
      </c>
      <c r="AN15" t="s">
        <v>43</v>
      </c>
      <c r="AO15">
        <v>60.019650422470598</v>
      </c>
      <c r="AP15" t="s">
        <v>56</v>
      </c>
    </row>
    <row r="16" spans="1:42" x14ac:dyDescent="0.4">
      <c r="A16" t="s">
        <v>45</v>
      </c>
      <c r="B16" t="s">
        <v>46</v>
      </c>
      <c r="C16" t="s">
        <v>47</v>
      </c>
      <c r="D16" t="s">
        <v>48</v>
      </c>
      <c r="E16">
        <v>10</v>
      </c>
      <c r="F16">
        <v>2</v>
      </c>
      <c r="G16">
        <v>2</v>
      </c>
      <c r="H16" t="s">
        <v>53</v>
      </c>
      <c r="I16">
        <v>0</v>
      </c>
      <c r="J16">
        <v>0.739230800012592</v>
      </c>
      <c r="K16" t="s">
        <v>49</v>
      </c>
      <c r="L16">
        <v>2</v>
      </c>
      <c r="M16">
        <v>2</v>
      </c>
      <c r="N16">
        <v>10</v>
      </c>
      <c r="O16">
        <v>2</v>
      </c>
      <c r="P16">
        <v>11.39402040001</v>
      </c>
      <c r="U16">
        <v>11.388458999979701</v>
      </c>
      <c r="V16">
        <v>11.39402040001</v>
      </c>
      <c r="W16">
        <v>11.8934632000164</v>
      </c>
      <c r="X16">
        <v>11.8934632000164</v>
      </c>
      <c r="Y16">
        <v>11.8934632000164</v>
      </c>
      <c r="Z16">
        <v>12.6471082000061</v>
      </c>
      <c r="AA16" t="s">
        <v>53</v>
      </c>
      <c r="AB16">
        <v>0</v>
      </c>
      <c r="AC16">
        <v>0.739230800012592</v>
      </c>
      <c r="AD16" t="s">
        <v>49</v>
      </c>
      <c r="AI16">
        <v>2</v>
      </c>
      <c r="AJ16">
        <v>1</v>
      </c>
      <c r="AK16" t="s">
        <v>55</v>
      </c>
      <c r="AL16" t="s">
        <v>42</v>
      </c>
      <c r="AN16" t="s">
        <v>43</v>
      </c>
      <c r="AO16">
        <v>60.019650422470598</v>
      </c>
      <c r="AP16" t="s">
        <v>56</v>
      </c>
    </row>
    <row r="17" spans="1:42" x14ac:dyDescent="0.4">
      <c r="A17" t="s">
        <v>50</v>
      </c>
      <c r="B17" t="s">
        <v>52</v>
      </c>
      <c r="C17" t="s">
        <v>47</v>
      </c>
      <c r="D17" t="s">
        <v>53</v>
      </c>
      <c r="E17">
        <v>11</v>
      </c>
      <c r="F17">
        <v>3</v>
      </c>
      <c r="G17">
        <v>2</v>
      </c>
      <c r="H17" t="s">
        <v>48</v>
      </c>
      <c r="I17">
        <v>0</v>
      </c>
      <c r="J17">
        <v>1.0166905999649301</v>
      </c>
      <c r="K17" t="s">
        <v>49</v>
      </c>
      <c r="L17">
        <v>2</v>
      </c>
      <c r="M17">
        <v>3</v>
      </c>
      <c r="N17">
        <v>11</v>
      </c>
      <c r="O17">
        <v>1</v>
      </c>
      <c r="P17">
        <v>12.6606208999874</v>
      </c>
      <c r="U17">
        <v>12.6495884999749</v>
      </c>
      <c r="V17">
        <v>12.6606208999874</v>
      </c>
      <c r="W17">
        <v>13.1605668999836</v>
      </c>
      <c r="X17">
        <v>13.1605668999836</v>
      </c>
      <c r="Y17">
        <v>13.1605668999836</v>
      </c>
      <c r="Z17">
        <v>14.1835405000019</v>
      </c>
      <c r="AA17" t="s">
        <v>48</v>
      </c>
      <c r="AB17">
        <v>0</v>
      </c>
      <c r="AC17">
        <v>1.0166905999649301</v>
      </c>
      <c r="AD17" t="s">
        <v>49</v>
      </c>
      <c r="AI17">
        <v>2</v>
      </c>
      <c r="AJ17">
        <v>1</v>
      </c>
      <c r="AK17" t="s">
        <v>55</v>
      </c>
      <c r="AL17" t="s">
        <v>42</v>
      </c>
      <c r="AN17" t="s">
        <v>43</v>
      </c>
      <c r="AO17">
        <v>60.019650422470598</v>
      </c>
      <c r="AP17" t="s">
        <v>56</v>
      </c>
    </row>
    <row r="18" spans="1:42" x14ac:dyDescent="0.4">
      <c r="A18" t="s">
        <v>45</v>
      </c>
      <c r="B18" t="s">
        <v>46</v>
      </c>
      <c r="C18" t="s">
        <v>47</v>
      </c>
      <c r="D18" t="s">
        <v>48</v>
      </c>
      <c r="E18">
        <v>12</v>
      </c>
      <c r="F18">
        <v>0</v>
      </c>
      <c r="G18">
        <v>3</v>
      </c>
      <c r="H18" t="s">
        <v>48</v>
      </c>
      <c r="I18">
        <v>1</v>
      </c>
      <c r="J18">
        <v>0.87299970001913596</v>
      </c>
      <c r="K18" t="s">
        <v>49</v>
      </c>
      <c r="L18">
        <v>3</v>
      </c>
      <c r="M18">
        <v>0</v>
      </c>
      <c r="N18">
        <v>12</v>
      </c>
      <c r="O18">
        <v>2</v>
      </c>
      <c r="P18">
        <v>14.1940063000074</v>
      </c>
      <c r="U18">
        <v>14.1880744000081</v>
      </c>
      <c r="V18">
        <v>14.1940063000074</v>
      </c>
      <c r="W18">
        <v>14.693910099973399</v>
      </c>
      <c r="X18">
        <v>14.693910099973399</v>
      </c>
      <c r="Y18">
        <v>14.693910099973399</v>
      </c>
      <c r="Z18">
        <v>15.5807958999648</v>
      </c>
      <c r="AA18" t="s">
        <v>48</v>
      </c>
      <c r="AB18">
        <v>1</v>
      </c>
      <c r="AC18">
        <v>0.87299970001913596</v>
      </c>
      <c r="AD18" t="s">
        <v>49</v>
      </c>
      <c r="AI18">
        <v>2</v>
      </c>
      <c r="AJ18">
        <v>1</v>
      </c>
      <c r="AK18" t="s">
        <v>55</v>
      </c>
      <c r="AL18" t="s">
        <v>42</v>
      </c>
      <c r="AN18" t="s">
        <v>43</v>
      </c>
      <c r="AO18">
        <v>60.019650422470598</v>
      </c>
      <c r="AP18" t="s">
        <v>56</v>
      </c>
    </row>
    <row r="19" spans="1:42" x14ac:dyDescent="0.4">
      <c r="A19" t="s">
        <v>50</v>
      </c>
      <c r="B19" t="s">
        <v>52</v>
      </c>
      <c r="C19" t="s">
        <v>47</v>
      </c>
      <c r="D19" t="s">
        <v>53</v>
      </c>
      <c r="E19">
        <v>13</v>
      </c>
      <c r="F19">
        <v>1</v>
      </c>
      <c r="G19">
        <v>3</v>
      </c>
      <c r="H19" t="s">
        <v>53</v>
      </c>
      <c r="I19">
        <v>1</v>
      </c>
      <c r="J19">
        <v>1.05941320001147</v>
      </c>
      <c r="K19" t="s">
        <v>49</v>
      </c>
      <c r="L19">
        <v>3</v>
      </c>
      <c r="M19">
        <v>1</v>
      </c>
      <c r="N19">
        <v>13</v>
      </c>
      <c r="O19">
        <v>1</v>
      </c>
      <c r="P19">
        <v>15.5936220000148</v>
      </c>
      <c r="U19">
        <v>15.583286900015</v>
      </c>
      <c r="V19">
        <v>15.5936220000148</v>
      </c>
      <c r="W19">
        <v>16.0941477000014</v>
      </c>
      <c r="X19">
        <v>16.0941477000014</v>
      </c>
      <c r="Y19">
        <v>16.0941477000014</v>
      </c>
      <c r="Z19">
        <v>17.1648745000129</v>
      </c>
      <c r="AA19" t="s">
        <v>53</v>
      </c>
      <c r="AB19">
        <v>1</v>
      </c>
      <c r="AC19">
        <v>1.05941320001147</v>
      </c>
      <c r="AD19" t="s">
        <v>49</v>
      </c>
      <c r="AI19">
        <v>2</v>
      </c>
      <c r="AJ19">
        <v>1</v>
      </c>
      <c r="AK19" t="s">
        <v>55</v>
      </c>
      <c r="AL19" t="s">
        <v>42</v>
      </c>
      <c r="AN19" t="s">
        <v>43</v>
      </c>
      <c r="AO19">
        <v>60.019650422470598</v>
      </c>
      <c r="AP19" t="s">
        <v>56</v>
      </c>
    </row>
    <row r="20" spans="1:42" x14ac:dyDescent="0.4">
      <c r="A20" t="s">
        <v>45</v>
      </c>
      <c r="B20" t="s">
        <v>46</v>
      </c>
      <c r="C20" t="s">
        <v>47</v>
      </c>
      <c r="D20" t="s">
        <v>48</v>
      </c>
      <c r="E20">
        <v>17</v>
      </c>
      <c r="F20">
        <v>1</v>
      </c>
      <c r="G20">
        <v>4</v>
      </c>
      <c r="H20" t="s">
        <v>48</v>
      </c>
      <c r="I20">
        <v>1</v>
      </c>
      <c r="J20">
        <v>0.78075309999985598</v>
      </c>
      <c r="K20" t="s">
        <v>49</v>
      </c>
      <c r="L20">
        <v>4</v>
      </c>
      <c r="M20">
        <v>1</v>
      </c>
      <c r="N20">
        <v>17</v>
      </c>
      <c r="O20">
        <v>2</v>
      </c>
      <c r="P20">
        <v>21.362259100016601</v>
      </c>
      <c r="U20">
        <v>21.353641499998002</v>
      </c>
      <c r="V20">
        <v>21.362259100016601</v>
      </c>
      <c r="W20">
        <v>21.8609010999789</v>
      </c>
      <c r="X20">
        <v>21.8609010999789</v>
      </c>
      <c r="Y20">
        <v>21.8609010999789</v>
      </c>
      <c r="Z20">
        <v>22.647513300005802</v>
      </c>
      <c r="AA20" t="s">
        <v>48</v>
      </c>
      <c r="AB20">
        <v>1</v>
      </c>
      <c r="AC20">
        <v>0.78075309999985598</v>
      </c>
      <c r="AD20" t="s">
        <v>49</v>
      </c>
      <c r="AI20">
        <v>2</v>
      </c>
      <c r="AJ20">
        <v>1</v>
      </c>
      <c r="AK20" t="s">
        <v>55</v>
      </c>
      <c r="AL20" t="s">
        <v>42</v>
      </c>
      <c r="AN20" t="s">
        <v>43</v>
      </c>
      <c r="AO20">
        <v>60.019650422470598</v>
      </c>
      <c r="AP20" t="s">
        <v>56</v>
      </c>
    </row>
    <row r="21" spans="1:42" x14ac:dyDescent="0.4">
      <c r="A21" t="s">
        <v>50</v>
      </c>
      <c r="B21" t="s">
        <v>52</v>
      </c>
      <c r="C21" t="s">
        <v>47</v>
      </c>
      <c r="D21" t="s">
        <v>53</v>
      </c>
      <c r="E21">
        <v>19</v>
      </c>
      <c r="F21">
        <v>3</v>
      </c>
      <c r="G21">
        <v>4</v>
      </c>
      <c r="H21" t="s">
        <v>53</v>
      </c>
      <c r="I21">
        <v>1</v>
      </c>
      <c r="J21">
        <v>0.46572660002857402</v>
      </c>
      <c r="K21" t="s">
        <v>49</v>
      </c>
      <c r="L21">
        <v>4</v>
      </c>
      <c r="M21">
        <v>3</v>
      </c>
      <c r="N21">
        <v>19</v>
      </c>
      <c r="O21">
        <v>1</v>
      </c>
      <c r="P21">
        <v>23.960348099994</v>
      </c>
      <c r="U21">
        <v>23.954507599992201</v>
      </c>
      <c r="V21">
        <v>23.960348099994</v>
      </c>
      <c r="W21">
        <v>24.4602730000042</v>
      </c>
      <c r="X21">
        <v>24.4602730000042</v>
      </c>
      <c r="Y21">
        <v>24.4602730000042</v>
      </c>
      <c r="Z21">
        <v>24.934578899992601</v>
      </c>
      <c r="AA21" t="s">
        <v>53</v>
      </c>
      <c r="AB21">
        <v>1</v>
      </c>
      <c r="AC21">
        <v>0.46572660002857402</v>
      </c>
      <c r="AD21" t="s">
        <v>49</v>
      </c>
      <c r="AI21">
        <v>2</v>
      </c>
      <c r="AJ21">
        <v>1</v>
      </c>
      <c r="AK21" t="s">
        <v>55</v>
      </c>
      <c r="AL21" t="s">
        <v>42</v>
      </c>
      <c r="AN21" t="s">
        <v>43</v>
      </c>
      <c r="AO21">
        <v>60.019650422470598</v>
      </c>
      <c r="AP21" t="s">
        <v>56</v>
      </c>
    </row>
    <row r="22" spans="1:42" x14ac:dyDescent="0.4">
      <c r="R22">
        <v>1.27604000153951E-2</v>
      </c>
      <c r="S22">
        <v>2.72283999947831E-2</v>
      </c>
      <c r="T22">
        <v>1.0132583999657001</v>
      </c>
      <c r="AI22">
        <v>2</v>
      </c>
      <c r="AJ22">
        <v>1</v>
      </c>
      <c r="AK22" t="s">
        <v>55</v>
      </c>
      <c r="AL22" t="s">
        <v>42</v>
      </c>
      <c r="AN22" t="s">
        <v>43</v>
      </c>
      <c r="AO22">
        <v>60.019650422470598</v>
      </c>
      <c r="AP22" t="s">
        <v>56</v>
      </c>
    </row>
    <row r="23" spans="1:42" x14ac:dyDescent="0.4">
      <c r="AE23">
        <v>24.934792199986902</v>
      </c>
      <c r="AF23">
        <v>24.944535400019902</v>
      </c>
      <c r="AG23">
        <v>25.944465300009998</v>
      </c>
      <c r="AH23">
        <v>25.933055699977501</v>
      </c>
      <c r="AI23">
        <v>2</v>
      </c>
      <c r="AJ23">
        <v>1</v>
      </c>
      <c r="AK23" t="s">
        <v>55</v>
      </c>
      <c r="AL23" t="s">
        <v>42</v>
      </c>
      <c r="AN23" t="s">
        <v>43</v>
      </c>
      <c r="AO23">
        <v>60.019650422470598</v>
      </c>
      <c r="AP23" t="s">
        <v>56</v>
      </c>
    </row>
  </sheetData>
  <sortState xmlns:xlrd2="http://schemas.microsoft.com/office/spreadsheetml/2017/richdata2" ref="A2:AP23">
    <sortCondition ref="C1:C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AA04-D357-4015-8076-28018973BFAC}">
  <dimension ref="A1:AP23"/>
  <sheetViews>
    <sheetView workbookViewId="0">
      <selection activeCell="I1" sqref="I1:I1048576"/>
    </sheetView>
  </sheetViews>
  <sheetFormatPr defaultRowHeight="14.6" x14ac:dyDescent="0.4"/>
  <sheetData>
    <row r="1" spans="1:4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54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4">
      <c r="A2" t="s">
        <v>50</v>
      </c>
      <c r="B2" t="s">
        <v>46</v>
      </c>
      <c r="C2" t="s">
        <v>51</v>
      </c>
      <c r="D2" t="s">
        <v>48</v>
      </c>
      <c r="E2">
        <v>1</v>
      </c>
      <c r="F2">
        <v>1</v>
      </c>
      <c r="G2">
        <v>0</v>
      </c>
      <c r="H2" t="s">
        <v>48</v>
      </c>
      <c r="I2">
        <v>1</v>
      </c>
      <c r="J2">
        <v>0.93503980000969</v>
      </c>
      <c r="K2" t="s">
        <v>49</v>
      </c>
      <c r="L2">
        <v>0</v>
      </c>
      <c r="M2">
        <v>1</v>
      </c>
      <c r="N2">
        <v>1</v>
      </c>
      <c r="O2">
        <v>0</v>
      </c>
      <c r="P2">
        <v>2.6594285999890399</v>
      </c>
      <c r="U2">
        <v>2.6396722000208599</v>
      </c>
      <c r="V2">
        <v>2.6594285999890399</v>
      </c>
      <c r="W2">
        <v>3.1427467999747001</v>
      </c>
      <c r="X2">
        <v>3.1427467999747001</v>
      </c>
      <c r="Y2">
        <v>3.1427467999747001</v>
      </c>
      <c r="Z2">
        <v>4.0810556000215001</v>
      </c>
      <c r="AA2" t="s">
        <v>48</v>
      </c>
      <c r="AB2">
        <v>1</v>
      </c>
      <c r="AC2">
        <v>0.93503980000969</v>
      </c>
      <c r="AD2" t="s">
        <v>49</v>
      </c>
      <c r="AI2">
        <v>3</v>
      </c>
      <c r="AJ2">
        <v>1</v>
      </c>
      <c r="AK2" t="s">
        <v>57</v>
      </c>
      <c r="AL2" t="s">
        <v>42</v>
      </c>
      <c r="AN2" t="s">
        <v>43</v>
      </c>
      <c r="AO2">
        <v>60.122818891740501</v>
      </c>
      <c r="AP2" t="s">
        <v>58</v>
      </c>
    </row>
    <row r="3" spans="1:42" x14ac:dyDescent="0.4">
      <c r="A3" t="s">
        <v>45</v>
      </c>
      <c r="B3" t="s">
        <v>52</v>
      </c>
      <c r="C3" t="s">
        <v>51</v>
      </c>
      <c r="D3" t="s">
        <v>53</v>
      </c>
      <c r="E3">
        <v>2</v>
      </c>
      <c r="F3">
        <v>2</v>
      </c>
      <c r="G3">
        <v>0</v>
      </c>
      <c r="H3" t="s">
        <v>53</v>
      </c>
      <c r="I3">
        <v>1</v>
      </c>
      <c r="J3">
        <v>0.53361819998826798</v>
      </c>
      <c r="K3" t="s">
        <v>49</v>
      </c>
      <c r="L3">
        <v>0</v>
      </c>
      <c r="M3">
        <v>2</v>
      </c>
      <c r="N3">
        <v>2</v>
      </c>
      <c r="O3">
        <v>3</v>
      </c>
      <c r="P3">
        <v>4.0934051999938603</v>
      </c>
      <c r="U3">
        <v>4.0883028000243904</v>
      </c>
      <c r="V3">
        <v>4.0934051999938603</v>
      </c>
      <c r="W3">
        <v>4.5933335999725298</v>
      </c>
      <c r="X3">
        <v>4.5933335999725298</v>
      </c>
      <c r="Y3">
        <v>4.5933335999725298</v>
      </c>
      <c r="Z3">
        <v>5.1327862999751197</v>
      </c>
      <c r="AA3" t="s">
        <v>53</v>
      </c>
      <c r="AB3">
        <v>1</v>
      </c>
      <c r="AC3">
        <v>0.53361819998826798</v>
      </c>
      <c r="AD3" t="s">
        <v>49</v>
      </c>
      <c r="AI3">
        <v>3</v>
      </c>
      <c r="AJ3">
        <v>1</v>
      </c>
      <c r="AK3" t="s">
        <v>57</v>
      </c>
      <c r="AL3" t="s">
        <v>42</v>
      </c>
      <c r="AN3" t="s">
        <v>43</v>
      </c>
      <c r="AO3">
        <v>60.122818891740501</v>
      </c>
      <c r="AP3" t="s">
        <v>58</v>
      </c>
    </row>
    <row r="4" spans="1:42" x14ac:dyDescent="0.4">
      <c r="A4" t="s">
        <v>50</v>
      </c>
      <c r="B4" t="s">
        <v>46</v>
      </c>
      <c r="C4" t="s">
        <v>51</v>
      </c>
      <c r="D4" t="s">
        <v>48</v>
      </c>
      <c r="E4">
        <v>4</v>
      </c>
      <c r="F4">
        <v>0</v>
      </c>
      <c r="G4">
        <v>1</v>
      </c>
      <c r="H4" t="s">
        <v>48</v>
      </c>
      <c r="I4">
        <v>1</v>
      </c>
      <c r="J4">
        <v>0.839317100006155</v>
      </c>
      <c r="K4" t="s">
        <v>49</v>
      </c>
      <c r="L4">
        <v>1</v>
      </c>
      <c r="M4">
        <v>0</v>
      </c>
      <c r="N4">
        <v>4</v>
      </c>
      <c r="O4">
        <v>0</v>
      </c>
      <c r="P4">
        <v>6.31041689997073</v>
      </c>
      <c r="U4">
        <v>6.3018060000031202</v>
      </c>
      <c r="V4">
        <v>6.31041689997073</v>
      </c>
      <c r="W4">
        <v>6.8128205999964804</v>
      </c>
      <c r="X4">
        <v>6.8128205999964804</v>
      </c>
      <c r="Y4">
        <v>6.8128205999964804</v>
      </c>
      <c r="Z4">
        <v>7.6665456999908201</v>
      </c>
      <c r="AA4" t="s">
        <v>48</v>
      </c>
      <c r="AB4">
        <v>1</v>
      </c>
      <c r="AC4">
        <v>0.839317100006155</v>
      </c>
      <c r="AD4" t="s">
        <v>49</v>
      </c>
      <c r="AI4">
        <v>3</v>
      </c>
      <c r="AJ4">
        <v>1</v>
      </c>
      <c r="AK4" t="s">
        <v>57</v>
      </c>
      <c r="AL4" t="s">
        <v>42</v>
      </c>
      <c r="AN4" t="s">
        <v>43</v>
      </c>
      <c r="AO4">
        <v>60.122818891740501</v>
      </c>
      <c r="AP4" t="s">
        <v>58</v>
      </c>
    </row>
    <row r="5" spans="1:42" x14ac:dyDescent="0.4">
      <c r="A5" t="s">
        <v>45</v>
      </c>
      <c r="B5" t="s">
        <v>52</v>
      </c>
      <c r="C5" t="s">
        <v>51</v>
      </c>
      <c r="D5" t="s">
        <v>53</v>
      </c>
      <c r="E5">
        <v>7</v>
      </c>
      <c r="F5">
        <v>3</v>
      </c>
      <c r="G5">
        <v>1</v>
      </c>
      <c r="H5" t="s">
        <v>53</v>
      </c>
      <c r="I5">
        <v>1</v>
      </c>
      <c r="J5">
        <v>0.497516200004611</v>
      </c>
      <c r="K5" t="s">
        <v>49</v>
      </c>
      <c r="L5">
        <v>1</v>
      </c>
      <c r="M5">
        <v>3</v>
      </c>
      <c r="N5">
        <v>7</v>
      </c>
      <c r="O5">
        <v>3</v>
      </c>
      <c r="P5">
        <v>9.6099694999866099</v>
      </c>
      <c r="U5">
        <v>9.6036819000146298</v>
      </c>
      <c r="V5">
        <v>9.6099694999866099</v>
      </c>
      <c r="W5">
        <v>10.1104042999795</v>
      </c>
      <c r="X5">
        <v>10.1104042999795</v>
      </c>
      <c r="Y5">
        <v>10.1104042999795</v>
      </c>
      <c r="Z5">
        <v>10.6128444999922</v>
      </c>
      <c r="AA5" t="s">
        <v>53</v>
      </c>
      <c r="AB5">
        <v>1</v>
      </c>
      <c r="AC5">
        <v>0.497516200004611</v>
      </c>
      <c r="AD5" t="s">
        <v>49</v>
      </c>
      <c r="AI5">
        <v>3</v>
      </c>
      <c r="AJ5">
        <v>1</v>
      </c>
      <c r="AK5" t="s">
        <v>57</v>
      </c>
      <c r="AL5" t="s">
        <v>42</v>
      </c>
      <c r="AN5" t="s">
        <v>43</v>
      </c>
      <c r="AO5">
        <v>60.122818891740501</v>
      </c>
      <c r="AP5" t="s">
        <v>58</v>
      </c>
    </row>
    <row r="6" spans="1:42" x14ac:dyDescent="0.4">
      <c r="A6" t="s">
        <v>45</v>
      </c>
      <c r="B6" t="s">
        <v>52</v>
      </c>
      <c r="C6" t="s">
        <v>51</v>
      </c>
      <c r="D6" t="s">
        <v>53</v>
      </c>
      <c r="E6">
        <v>9</v>
      </c>
      <c r="F6">
        <v>1</v>
      </c>
      <c r="G6">
        <v>2</v>
      </c>
      <c r="H6" t="s">
        <v>53</v>
      </c>
      <c r="I6">
        <v>1</v>
      </c>
      <c r="J6">
        <v>0.459198499971535</v>
      </c>
      <c r="K6" t="s">
        <v>49</v>
      </c>
      <c r="L6">
        <v>2</v>
      </c>
      <c r="M6">
        <v>1</v>
      </c>
      <c r="N6">
        <v>9</v>
      </c>
      <c r="O6">
        <v>3</v>
      </c>
      <c r="P6">
        <v>11.7098114999826</v>
      </c>
      <c r="U6">
        <v>11.696575800015101</v>
      </c>
      <c r="V6">
        <v>11.7098114999826</v>
      </c>
      <c r="W6">
        <v>12.2100258999853</v>
      </c>
      <c r="X6">
        <v>12.2100258999853</v>
      </c>
      <c r="Y6">
        <v>12.2100258999853</v>
      </c>
      <c r="Z6">
        <v>12.6799286999739</v>
      </c>
      <c r="AA6" t="s">
        <v>53</v>
      </c>
      <c r="AB6">
        <v>1</v>
      </c>
      <c r="AC6">
        <v>0.459198499971535</v>
      </c>
      <c r="AD6" t="s">
        <v>49</v>
      </c>
      <c r="AI6">
        <v>3</v>
      </c>
      <c r="AJ6">
        <v>1</v>
      </c>
      <c r="AK6" t="s">
        <v>57</v>
      </c>
      <c r="AL6" t="s">
        <v>42</v>
      </c>
      <c r="AN6" t="s">
        <v>43</v>
      </c>
      <c r="AO6">
        <v>60.122818891740501</v>
      </c>
      <c r="AP6" t="s">
        <v>58</v>
      </c>
    </row>
    <row r="7" spans="1:42" x14ac:dyDescent="0.4">
      <c r="A7" t="s">
        <v>50</v>
      </c>
      <c r="B7" t="s">
        <v>46</v>
      </c>
      <c r="C7" t="s">
        <v>51</v>
      </c>
      <c r="D7" t="s">
        <v>48</v>
      </c>
      <c r="E7">
        <v>11</v>
      </c>
      <c r="F7">
        <v>3</v>
      </c>
      <c r="G7">
        <v>2</v>
      </c>
      <c r="H7" t="s">
        <v>48</v>
      </c>
      <c r="I7">
        <v>1</v>
      </c>
      <c r="J7">
        <v>0.72008880000794295</v>
      </c>
      <c r="K7" t="s">
        <v>49</v>
      </c>
      <c r="L7">
        <v>2</v>
      </c>
      <c r="M7">
        <v>3</v>
      </c>
      <c r="N7">
        <v>11</v>
      </c>
      <c r="O7">
        <v>0</v>
      </c>
      <c r="P7">
        <v>13.6427224000217</v>
      </c>
      <c r="U7">
        <v>13.6314693000167</v>
      </c>
      <c r="V7">
        <v>13.6427224000217</v>
      </c>
      <c r="W7">
        <v>14.142972400004499</v>
      </c>
      <c r="X7">
        <v>14.142972400004499</v>
      </c>
      <c r="Y7">
        <v>14.142972400004499</v>
      </c>
      <c r="Z7">
        <v>14.865172800025899</v>
      </c>
      <c r="AA7" t="s">
        <v>48</v>
      </c>
      <c r="AB7">
        <v>1</v>
      </c>
      <c r="AC7">
        <v>0.72008880000794295</v>
      </c>
      <c r="AD7" t="s">
        <v>49</v>
      </c>
      <c r="AI7">
        <v>3</v>
      </c>
      <c r="AJ7">
        <v>1</v>
      </c>
      <c r="AK7" t="s">
        <v>57</v>
      </c>
      <c r="AL7" t="s">
        <v>42</v>
      </c>
      <c r="AN7" t="s">
        <v>43</v>
      </c>
      <c r="AO7">
        <v>60.122818891740501</v>
      </c>
      <c r="AP7" t="s">
        <v>58</v>
      </c>
    </row>
    <row r="8" spans="1:42" x14ac:dyDescent="0.4">
      <c r="A8" t="s">
        <v>45</v>
      </c>
      <c r="B8" t="s">
        <v>52</v>
      </c>
      <c r="C8" t="s">
        <v>51</v>
      </c>
      <c r="D8" t="s">
        <v>53</v>
      </c>
      <c r="E8">
        <v>13</v>
      </c>
      <c r="F8">
        <v>1</v>
      </c>
      <c r="G8">
        <v>3</v>
      </c>
      <c r="H8" t="s">
        <v>53</v>
      </c>
      <c r="I8">
        <v>1</v>
      </c>
      <c r="J8">
        <v>0.56358600000385195</v>
      </c>
      <c r="K8" t="s">
        <v>49</v>
      </c>
      <c r="L8">
        <v>3</v>
      </c>
      <c r="M8">
        <v>1</v>
      </c>
      <c r="N8">
        <v>13</v>
      </c>
      <c r="O8">
        <v>3</v>
      </c>
      <c r="P8">
        <v>16.1762935000006</v>
      </c>
      <c r="U8">
        <v>16.162424499983899</v>
      </c>
      <c r="V8">
        <v>16.1762935000006</v>
      </c>
      <c r="W8">
        <v>16.676235100021501</v>
      </c>
      <c r="X8">
        <v>16.676235100021501</v>
      </c>
      <c r="Y8">
        <v>16.676235100021501</v>
      </c>
      <c r="Z8">
        <v>17.245661000022601</v>
      </c>
      <c r="AA8" t="s">
        <v>53</v>
      </c>
      <c r="AB8">
        <v>1</v>
      </c>
      <c r="AC8">
        <v>0.56358600000385195</v>
      </c>
      <c r="AD8" t="s">
        <v>49</v>
      </c>
      <c r="AI8">
        <v>3</v>
      </c>
      <c r="AJ8">
        <v>1</v>
      </c>
      <c r="AK8" t="s">
        <v>57</v>
      </c>
      <c r="AL8" t="s">
        <v>42</v>
      </c>
      <c r="AN8" t="s">
        <v>43</v>
      </c>
      <c r="AO8">
        <v>60.122818891740501</v>
      </c>
      <c r="AP8" t="s">
        <v>58</v>
      </c>
    </row>
    <row r="9" spans="1:42" x14ac:dyDescent="0.4">
      <c r="A9" t="s">
        <v>50</v>
      </c>
      <c r="B9" t="s">
        <v>46</v>
      </c>
      <c r="C9" t="s">
        <v>51</v>
      </c>
      <c r="D9" t="s">
        <v>48</v>
      </c>
      <c r="E9">
        <v>15</v>
      </c>
      <c r="F9">
        <v>3</v>
      </c>
      <c r="G9">
        <v>3</v>
      </c>
      <c r="H9" t="s">
        <v>48</v>
      </c>
      <c r="I9">
        <v>1</v>
      </c>
      <c r="J9">
        <v>0.46912990004056998</v>
      </c>
      <c r="K9" t="s">
        <v>49</v>
      </c>
      <c r="L9">
        <v>3</v>
      </c>
      <c r="M9">
        <v>3</v>
      </c>
      <c r="N9">
        <v>15</v>
      </c>
      <c r="O9">
        <v>0</v>
      </c>
      <c r="P9">
        <v>18.7928797000204</v>
      </c>
      <c r="U9">
        <v>18.779396099969698</v>
      </c>
      <c r="V9">
        <v>18.7928797000204</v>
      </c>
      <c r="W9">
        <v>19.293011299974701</v>
      </c>
      <c r="X9">
        <v>19.293011299974701</v>
      </c>
      <c r="Y9">
        <v>19.293011299974701</v>
      </c>
      <c r="Z9">
        <v>19.765399699972399</v>
      </c>
      <c r="AA9" t="s">
        <v>48</v>
      </c>
      <c r="AB9">
        <v>1</v>
      </c>
      <c r="AC9">
        <v>0.46912990004056998</v>
      </c>
      <c r="AD9" t="s">
        <v>49</v>
      </c>
      <c r="AI9">
        <v>3</v>
      </c>
      <c r="AJ9">
        <v>1</v>
      </c>
      <c r="AK9" t="s">
        <v>57</v>
      </c>
      <c r="AL9" t="s">
        <v>42</v>
      </c>
      <c r="AN9" t="s">
        <v>43</v>
      </c>
      <c r="AO9">
        <v>60.122818891740501</v>
      </c>
      <c r="AP9" t="s">
        <v>58</v>
      </c>
    </row>
    <row r="10" spans="1:42" x14ac:dyDescent="0.4">
      <c r="A10" t="s">
        <v>45</v>
      </c>
      <c r="B10" t="s">
        <v>52</v>
      </c>
      <c r="C10" t="s">
        <v>51</v>
      </c>
      <c r="D10" t="s">
        <v>53</v>
      </c>
      <c r="E10">
        <v>16</v>
      </c>
      <c r="F10">
        <v>0</v>
      </c>
      <c r="G10">
        <v>4</v>
      </c>
      <c r="H10" t="s">
        <v>53</v>
      </c>
      <c r="I10">
        <v>1</v>
      </c>
      <c r="J10">
        <v>0.48561450000852302</v>
      </c>
      <c r="K10" t="s">
        <v>49</v>
      </c>
      <c r="L10">
        <v>4</v>
      </c>
      <c r="M10">
        <v>0</v>
      </c>
      <c r="N10">
        <v>16</v>
      </c>
      <c r="O10">
        <v>3</v>
      </c>
      <c r="P10">
        <v>19.776523799984702</v>
      </c>
      <c r="U10">
        <v>19.7697305000037</v>
      </c>
      <c r="V10">
        <v>19.776523799984702</v>
      </c>
      <c r="W10">
        <v>20.275954200013</v>
      </c>
      <c r="X10">
        <v>20.275954200013</v>
      </c>
      <c r="Y10">
        <v>20.275954200013</v>
      </c>
      <c r="Z10">
        <v>20.765439399983698</v>
      </c>
      <c r="AA10" t="s">
        <v>53</v>
      </c>
      <c r="AB10">
        <v>1</v>
      </c>
      <c r="AC10">
        <v>0.48561450000852302</v>
      </c>
      <c r="AD10" t="s">
        <v>49</v>
      </c>
      <c r="AI10">
        <v>3</v>
      </c>
      <c r="AJ10">
        <v>1</v>
      </c>
      <c r="AK10" t="s">
        <v>57</v>
      </c>
      <c r="AL10" t="s">
        <v>42</v>
      </c>
      <c r="AN10" t="s">
        <v>43</v>
      </c>
      <c r="AO10">
        <v>60.122818891740501</v>
      </c>
      <c r="AP10" t="s">
        <v>58</v>
      </c>
    </row>
    <row r="11" spans="1:42" x14ac:dyDescent="0.4">
      <c r="A11" t="s">
        <v>50</v>
      </c>
      <c r="B11" t="s">
        <v>46</v>
      </c>
      <c r="C11" t="s">
        <v>51</v>
      </c>
      <c r="D11" t="s">
        <v>48</v>
      </c>
      <c r="E11">
        <v>17</v>
      </c>
      <c r="F11">
        <v>1</v>
      </c>
      <c r="G11">
        <v>4</v>
      </c>
      <c r="H11" t="s">
        <v>48</v>
      </c>
      <c r="I11">
        <v>1</v>
      </c>
      <c r="J11">
        <v>0.43783579999580902</v>
      </c>
      <c r="K11" t="s">
        <v>49</v>
      </c>
      <c r="L11">
        <v>4</v>
      </c>
      <c r="M11">
        <v>1</v>
      </c>
      <c r="N11">
        <v>17</v>
      </c>
      <c r="O11">
        <v>0</v>
      </c>
      <c r="P11">
        <v>20.776465400005598</v>
      </c>
      <c r="U11">
        <v>20.770354099979102</v>
      </c>
      <c r="V11">
        <v>20.776465400005598</v>
      </c>
      <c r="W11">
        <v>21.276093300024499</v>
      </c>
      <c r="X11">
        <v>21.276093300024499</v>
      </c>
      <c r="Y11">
        <v>21.276093300024499</v>
      </c>
      <c r="Z11">
        <v>21.7318964999867</v>
      </c>
      <c r="AA11" t="s">
        <v>48</v>
      </c>
      <c r="AB11">
        <v>1</v>
      </c>
      <c r="AC11">
        <v>0.43783579999580902</v>
      </c>
      <c r="AD11" t="s">
        <v>49</v>
      </c>
      <c r="AI11">
        <v>3</v>
      </c>
      <c r="AJ11">
        <v>1</v>
      </c>
      <c r="AK11" t="s">
        <v>57</v>
      </c>
      <c r="AL11" t="s">
        <v>42</v>
      </c>
      <c r="AN11" t="s">
        <v>43</v>
      </c>
      <c r="AO11">
        <v>60.122818891740501</v>
      </c>
      <c r="AP11" t="s">
        <v>58</v>
      </c>
    </row>
    <row r="12" spans="1:42" x14ac:dyDescent="0.4">
      <c r="A12" t="s">
        <v>50</v>
      </c>
      <c r="B12" t="s">
        <v>52</v>
      </c>
      <c r="C12" t="s">
        <v>47</v>
      </c>
      <c r="D12" t="s">
        <v>53</v>
      </c>
      <c r="E12">
        <v>0</v>
      </c>
      <c r="F12">
        <v>0</v>
      </c>
      <c r="G12">
        <v>0</v>
      </c>
      <c r="H12" t="s">
        <v>53</v>
      </c>
      <c r="I12">
        <v>1</v>
      </c>
      <c r="J12">
        <v>1.1179016000241899</v>
      </c>
      <c r="K12" t="s">
        <v>49</v>
      </c>
      <c r="L12">
        <v>0</v>
      </c>
      <c r="M12">
        <v>0</v>
      </c>
      <c r="N12">
        <v>0</v>
      </c>
      <c r="O12">
        <v>1</v>
      </c>
      <c r="P12">
        <v>1.0429190999711799</v>
      </c>
      <c r="U12">
        <v>1.0283280999865301</v>
      </c>
      <c r="V12">
        <v>1.0429190999711799</v>
      </c>
      <c r="W12">
        <v>1.5104726999997999</v>
      </c>
      <c r="X12">
        <v>1.5104726999997999</v>
      </c>
      <c r="Y12">
        <v>1.5104726999997999</v>
      </c>
      <c r="Z12">
        <v>2.63913149997824</v>
      </c>
      <c r="AA12" t="s">
        <v>53</v>
      </c>
      <c r="AB12">
        <v>1</v>
      </c>
      <c r="AC12">
        <v>1.1179016000241899</v>
      </c>
      <c r="AD12" t="s">
        <v>49</v>
      </c>
      <c r="AI12">
        <v>3</v>
      </c>
      <c r="AJ12">
        <v>1</v>
      </c>
      <c r="AK12" t="s">
        <v>57</v>
      </c>
      <c r="AL12" t="s">
        <v>42</v>
      </c>
      <c r="AN12" t="s">
        <v>43</v>
      </c>
      <c r="AO12">
        <v>60.122818891740501</v>
      </c>
      <c r="AP12" t="s">
        <v>58</v>
      </c>
    </row>
    <row r="13" spans="1:42" x14ac:dyDescent="0.4">
      <c r="A13" t="s">
        <v>45</v>
      </c>
      <c r="B13" t="s">
        <v>46</v>
      </c>
      <c r="C13" t="s">
        <v>47</v>
      </c>
      <c r="D13" t="s">
        <v>48</v>
      </c>
      <c r="E13">
        <v>3</v>
      </c>
      <c r="F13">
        <v>3</v>
      </c>
      <c r="G13">
        <v>0</v>
      </c>
      <c r="H13" t="s">
        <v>48</v>
      </c>
      <c r="I13">
        <v>1</v>
      </c>
      <c r="J13">
        <v>0.65380020003067296</v>
      </c>
      <c r="K13" t="s">
        <v>49</v>
      </c>
      <c r="L13">
        <v>0</v>
      </c>
      <c r="M13">
        <v>3</v>
      </c>
      <c r="N13">
        <v>3</v>
      </c>
      <c r="O13">
        <v>2</v>
      </c>
      <c r="P13">
        <v>5.1439339999924396</v>
      </c>
      <c r="U13">
        <v>5.13379789999453</v>
      </c>
      <c r="V13">
        <v>5.1439339999924396</v>
      </c>
      <c r="W13">
        <v>5.6439521000138404</v>
      </c>
      <c r="X13">
        <v>5.6439521000138404</v>
      </c>
      <c r="Y13">
        <v>5.6439521000138404</v>
      </c>
      <c r="Z13">
        <v>6.2986834999755903</v>
      </c>
      <c r="AA13" t="s">
        <v>48</v>
      </c>
      <c r="AB13">
        <v>1</v>
      </c>
      <c r="AC13">
        <v>0.65380020003067296</v>
      </c>
      <c r="AD13" t="s">
        <v>49</v>
      </c>
      <c r="AI13">
        <v>3</v>
      </c>
      <c r="AJ13">
        <v>1</v>
      </c>
      <c r="AK13" t="s">
        <v>57</v>
      </c>
      <c r="AL13" t="s">
        <v>42</v>
      </c>
      <c r="AN13" t="s">
        <v>43</v>
      </c>
      <c r="AO13">
        <v>60.122818891740501</v>
      </c>
      <c r="AP13" t="s">
        <v>58</v>
      </c>
    </row>
    <row r="14" spans="1:42" x14ac:dyDescent="0.4">
      <c r="A14" t="s">
        <v>45</v>
      </c>
      <c r="B14" t="s">
        <v>46</v>
      </c>
      <c r="C14" t="s">
        <v>47</v>
      </c>
      <c r="D14" t="s">
        <v>48</v>
      </c>
      <c r="E14">
        <v>5</v>
      </c>
      <c r="F14">
        <v>1</v>
      </c>
      <c r="G14">
        <v>1</v>
      </c>
      <c r="H14" t="s">
        <v>48</v>
      </c>
      <c r="I14">
        <v>1</v>
      </c>
      <c r="J14">
        <v>0.46610939997481099</v>
      </c>
      <c r="K14" t="s">
        <v>49</v>
      </c>
      <c r="L14">
        <v>1</v>
      </c>
      <c r="M14">
        <v>1</v>
      </c>
      <c r="N14">
        <v>5</v>
      </c>
      <c r="O14">
        <v>2</v>
      </c>
      <c r="P14">
        <v>7.6777736999792898</v>
      </c>
      <c r="U14">
        <v>7.6706740999943497</v>
      </c>
      <c r="V14">
        <v>7.6777736999792898</v>
      </c>
      <c r="W14">
        <v>8.1772819000179808</v>
      </c>
      <c r="X14">
        <v>8.1772819000179808</v>
      </c>
      <c r="Y14">
        <v>8.1772819000179808</v>
      </c>
      <c r="Z14">
        <v>8.6466270000091701</v>
      </c>
      <c r="AA14" t="s">
        <v>48</v>
      </c>
      <c r="AB14">
        <v>1</v>
      </c>
      <c r="AC14">
        <v>0.46610939997481099</v>
      </c>
      <c r="AD14" t="s">
        <v>49</v>
      </c>
      <c r="AI14">
        <v>3</v>
      </c>
      <c r="AJ14">
        <v>1</v>
      </c>
      <c r="AK14" t="s">
        <v>57</v>
      </c>
      <c r="AL14" t="s">
        <v>42</v>
      </c>
      <c r="AN14" t="s">
        <v>43</v>
      </c>
      <c r="AO14">
        <v>60.122818891740501</v>
      </c>
      <c r="AP14" t="s">
        <v>58</v>
      </c>
    </row>
    <row r="15" spans="1:42" x14ac:dyDescent="0.4">
      <c r="A15" t="s">
        <v>50</v>
      </c>
      <c r="B15" t="s">
        <v>52</v>
      </c>
      <c r="C15" t="s">
        <v>47</v>
      </c>
      <c r="D15" t="s">
        <v>53</v>
      </c>
      <c r="E15">
        <v>6</v>
      </c>
      <c r="F15">
        <v>2</v>
      </c>
      <c r="G15">
        <v>1</v>
      </c>
      <c r="H15" t="s">
        <v>53</v>
      </c>
      <c r="I15">
        <v>1</v>
      </c>
      <c r="J15">
        <v>0.43191620003199199</v>
      </c>
      <c r="K15" t="s">
        <v>49</v>
      </c>
      <c r="L15">
        <v>1</v>
      </c>
      <c r="M15">
        <v>2</v>
      </c>
      <c r="N15">
        <v>6</v>
      </c>
      <c r="O15">
        <v>1</v>
      </c>
      <c r="P15">
        <v>8.6594260999700001</v>
      </c>
      <c r="U15">
        <v>8.6499889999977295</v>
      </c>
      <c r="V15">
        <v>8.6594260999700001</v>
      </c>
      <c r="W15">
        <v>9.1600551999872497</v>
      </c>
      <c r="X15">
        <v>9.1600551999872497</v>
      </c>
      <c r="Y15">
        <v>9.1600551999872497</v>
      </c>
      <c r="Z15">
        <v>9.5991354999714495</v>
      </c>
      <c r="AA15" t="s">
        <v>53</v>
      </c>
      <c r="AB15">
        <v>1</v>
      </c>
      <c r="AC15">
        <v>0.43191620003199199</v>
      </c>
      <c r="AD15" t="s">
        <v>49</v>
      </c>
      <c r="AI15">
        <v>3</v>
      </c>
      <c r="AJ15">
        <v>1</v>
      </c>
      <c r="AK15" t="s">
        <v>57</v>
      </c>
      <c r="AL15" t="s">
        <v>42</v>
      </c>
      <c r="AN15" t="s">
        <v>43</v>
      </c>
      <c r="AO15">
        <v>60.122818891740501</v>
      </c>
      <c r="AP15" t="s">
        <v>58</v>
      </c>
    </row>
    <row r="16" spans="1:42" x14ac:dyDescent="0.4">
      <c r="A16" t="s">
        <v>45</v>
      </c>
      <c r="B16" t="s">
        <v>46</v>
      </c>
      <c r="C16" t="s">
        <v>47</v>
      </c>
      <c r="D16" t="s">
        <v>48</v>
      </c>
      <c r="E16">
        <v>8</v>
      </c>
      <c r="F16">
        <v>0</v>
      </c>
      <c r="G16">
        <v>2</v>
      </c>
      <c r="H16" t="s">
        <v>48</v>
      </c>
      <c r="I16">
        <v>1</v>
      </c>
      <c r="J16">
        <v>0.55683590000262395</v>
      </c>
      <c r="K16" t="s">
        <v>49</v>
      </c>
      <c r="L16">
        <v>2</v>
      </c>
      <c r="M16">
        <v>0</v>
      </c>
      <c r="N16">
        <v>8</v>
      </c>
      <c r="O16">
        <v>2</v>
      </c>
      <c r="P16">
        <v>10.6265564999775</v>
      </c>
      <c r="U16">
        <v>10.613173699995899</v>
      </c>
      <c r="V16">
        <v>10.6265564999775</v>
      </c>
      <c r="W16">
        <v>11.1268180999904</v>
      </c>
      <c r="X16">
        <v>11.1268180999904</v>
      </c>
      <c r="Y16">
        <v>11.1268180999904</v>
      </c>
      <c r="Z16">
        <v>11.6961186000262</v>
      </c>
      <c r="AA16" t="s">
        <v>48</v>
      </c>
      <c r="AB16">
        <v>1</v>
      </c>
      <c r="AC16">
        <v>0.55683590000262395</v>
      </c>
      <c r="AD16" t="s">
        <v>49</v>
      </c>
      <c r="AI16">
        <v>3</v>
      </c>
      <c r="AJ16">
        <v>1</v>
      </c>
      <c r="AK16" t="s">
        <v>57</v>
      </c>
      <c r="AL16" t="s">
        <v>42</v>
      </c>
      <c r="AN16" t="s">
        <v>43</v>
      </c>
      <c r="AO16">
        <v>60.122818891740501</v>
      </c>
      <c r="AP16" t="s">
        <v>58</v>
      </c>
    </row>
    <row r="17" spans="1:42" x14ac:dyDescent="0.4">
      <c r="A17" t="s">
        <v>50</v>
      </c>
      <c r="B17" t="s">
        <v>52</v>
      </c>
      <c r="C17" t="s">
        <v>47</v>
      </c>
      <c r="D17" t="s">
        <v>53</v>
      </c>
      <c r="E17">
        <v>10</v>
      </c>
      <c r="F17">
        <v>2</v>
      </c>
      <c r="G17">
        <v>2</v>
      </c>
      <c r="H17" t="s">
        <v>53</v>
      </c>
      <c r="I17">
        <v>1</v>
      </c>
      <c r="J17">
        <v>0.42918490001466097</v>
      </c>
      <c r="K17" t="s">
        <v>49</v>
      </c>
      <c r="L17">
        <v>2</v>
      </c>
      <c r="M17">
        <v>2</v>
      </c>
      <c r="N17">
        <v>10</v>
      </c>
      <c r="O17">
        <v>1</v>
      </c>
      <c r="P17">
        <v>12.692677900020399</v>
      </c>
      <c r="U17">
        <v>12.6828188999788</v>
      </c>
      <c r="V17">
        <v>12.692677900020399</v>
      </c>
      <c r="W17">
        <v>13.1929695999715</v>
      </c>
      <c r="X17">
        <v>13.1929695999715</v>
      </c>
      <c r="Y17">
        <v>13.1929695999715</v>
      </c>
      <c r="Z17">
        <v>13.6307109000044</v>
      </c>
      <c r="AA17" t="s">
        <v>53</v>
      </c>
      <c r="AB17">
        <v>1</v>
      </c>
      <c r="AC17">
        <v>0.42918490001466097</v>
      </c>
      <c r="AD17" t="s">
        <v>49</v>
      </c>
      <c r="AI17">
        <v>3</v>
      </c>
      <c r="AJ17">
        <v>1</v>
      </c>
      <c r="AK17" t="s">
        <v>57</v>
      </c>
      <c r="AL17" t="s">
        <v>42</v>
      </c>
      <c r="AN17" t="s">
        <v>43</v>
      </c>
      <c r="AO17">
        <v>60.122818891740501</v>
      </c>
      <c r="AP17" t="s">
        <v>58</v>
      </c>
    </row>
    <row r="18" spans="1:42" x14ac:dyDescent="0.4">
      <c r="A18" t="s">
        <v>45</v>
      </c>
      <c r="B18" t="s">
        <v>46</v>
      </c>
      <c r="C18" t="s">
        <v>47</v>
      </c>
      <c r="D18" t="s">
        <v>48</v>
      </c>
      <c r="E18">
        <v>12</v>
      </c>
      <c r="F18">
        <v>0</v>
      </c>
      <c r="G18">
        <v>3</v>
      </c>
      <c r="H18" t="s">
        <v>48</v>
      </c>
      <c r="I18">
        <v>1</v>
      </c>
      <c r="J18">
        <v>0.77059580001514405</v>
      </c>
      <c r="K18" t="s">
        <v>49</v>
      </c>
      <c r="L18">
        <v>3</v>
      </c>
      <c r="M18">
        <v>0</v>
      </c>
      <c r="N18">
        <v>12</v>
      </c>
      <c r="O18">
        <v>2</v>
      </c>
      <c r="P18">
        <v>14.876447700022201</v>
      </c>
      <c r="U18">
        <v>14.870362400018999</v>
      </c>
      <c r="V18">
        <v>14.876447700022201</v>
      </c>
      <c r="W18">
        <v>15.3765031999791</v>
      </c>
      <c r="X18">
        <v>15.3765031999791</v>
      </c>
      <c r="Y18">
        <v>15.3765031999791</v>
      </c>
      <c r="Z18">
        <v>16.162110399978701</v>
      </c>
      <c r="AA18" t="s">
        <v>48</v>
      </c>
      <c r="AB18">
        <v>1</v>
      </c>
      <c r="AC18">
        <v>0.77059580001514405</v>
      </c>
      <c r="AD18" t="s">
        <v>49</v>
      </c>
      <c r="AI18">
        <v>3</v>
      </c>
      <c r="AJ18">
        <v>1</v>
      </c>
      <c r="AK18" t="s">
        <v>57</v>
      </c>
      <c r="AL18" t="s">
        <v>42</v>
      </c>
      <c r="AN18" t="s">
        <v>43</v>
      </c>
      <c r="AO18">
        <v>60.122818891740501</v>
      </c>
      <c r="AP18" t="s">
        <v>58</v>
      </c>
    </row>
    <row r="19" spans="1:42" x14ac:dyDescent="0.4">
      <c r="A19" t="s">
        <v>50</v>
      </c>
      <c r="B19" t="s">
        <v>52</v>
      </c>
      <c r="C19" t="s">
        <v>47</v>
      </c>
      <c r="D19" t="s">
        <v>53</v>
      </c>
      <c r="E19">
        <v>14</v>
      </c>
      <c r="F19">
        <v>2</v>
      </c>
      <c r="G19">
        <v>3</v>
      </c>
      <c r="H19" t="s">
        <v>53</v>
      </c>
      <c r="I19">
        <v>1</v>
      </c>
      <c r="J19">
        <v>1.00364310003351</v>
      </c>
      <c r="K19" t="s">
        <v>49</v>
      </c>
      <c r="L19">
        <v>3</v>
      </c>
      <c r="M19">
        <v>2</v>
      </c>
      <c r="N19">
        <v>14</v>
      </c>
      <c r="O19">
        <v>1</v>
      </c>
      <c r="P19">
        <v>17.259954800014299</v>
      </c>
      <c r="U19">
        <v>17.247913600003798</v>
      </c>
      <c r="V19">
        <v>17.259954800014299</v>
      </c>
      <c r="W19">
        <v>17.759087299986199</v>
      </c>
      <c r="X19">
        <v>17.759087299986199</v>
      </c>
      <c r="Y19">
        <v>17.759087299986199</v>
      </c>
      <c r="Z19">
        <v>18.778983699972699</v>
      </c>
      <c r="AA19" t="s">
        <v>53</v>
      </c>
      <c r="AB19">
        <v>1</v>
      </c>
      <c r="AC19">
        <v>1.00364310003351</v>
      </c>
      <c r="AD19" t="s">
        <v>49</v>
      </c>
      <c r="AI19">
        <v>3</v>
      </c>
      <c r="AJ19">
        <v>1</v>
      </c>
      <c r="AK19" t="s">
        <v>57</v>
      </c>
      <c r="AL19" t="s">
        <v>42</v>
      </c>
      <c r="AN19" t="s">
        <v>43</v>
      </c>
      <c r="AO19">
        <v>60.122818891740501</v>
      </c>
      <c r="AP19" t="s">
        <v>58</v>
      </c>
    </row>
    <row r="20" spans="1:42" x14ac:dyDescent="0.4">
      <c r="A20" t="s">
        <v>50</v>
      </c>
      <c r="B20" t="s">
        <v>52</v>
      </c>
      <c r="C20" t="s">
        <v>47</v>
      </c>
      <c r="D20" t="s">
        <v>53</v>
      </c>
      <c r="E20">
        <v>18</v>
      </c>
      <c r="F20">
        <v>2</v>
      </c>
      <c r="G20">
        <v>4</v>
      </c>
      <c r="H20" t="s">
        <v>53</v>
      </c>
      <c r="I20">
        <v>1</v>
      </c>
      <c r="J20">
        <v>0.51686999999219496</v>
      </c>
      <c r="K20" t="s">
        <v>49</v>
      </c>
      <c r="L20">
        <v>4</v>
      </c>
      <c r="M20">
        <v>2</v>
      </c>
      <c r="N20">
        <v>18</v>
      </c>
      <c r="O20">
        <v>1</v>
      </c>
      <c r="P20">
        <v>21.743022300011901</v>
      </c>
      <c r="U20">
        <v>21.732752799987701</v>
      </c>
      <c r="V20">
        <v>21.743022300011901</v>
      </c>
      <c r="W20">
        <v>22.2431996000232</v>
      </c>
      <c r="X20">
        <v>22.2431996000232</v>
      </c>
      <c r="Y20">
        <v>22.2431996000232</v>
      </c>
      <c r="Z20">
        <v>22.765380199998599</v>
      </c>
      <c r="AA20" t="s">
        <v>53</v>
      </c>
      <c r="AB20">
        <v>1</v>
      </c>
      <c r="AC20">
        <v>0.51686999999219496</v>
      </c>
      <c r="AD20" t="s">
        <v>49</v>
      </c>
      <c r="AI20">
        <v>3</v>
      </c>
      <c r="AJ20">
        <v>1</v>
      </c>
      <c r="AK20" t="s">
        <v>57</v>
      </c>
      <c r="AL20" t="s">
        <v>42</v>
      </c>
      <c r="AN20" t="s">
        <v>43</v>
      </c>
      <c r="AO20">
        <v>60.122818891740501</v>
      </c>
      <c r="AP20" t="s">
        <v>58</v>
      </c>
    </row>
    <row r="21" spans="1:42" x14ac:dyDescent="0.4">
      <c r="A21" t="s">
        <v>45</v>
      </c>
      <c r="B21" t="s">
        <v>46</v>
      </c>
      <c r="C21" t="s">
        <v>47</v>
      </c>
      <c r="D21" t="s">
        <v>48</v>
      </c>
      <c r="E21">
        <v>19</v>
      </c>
      <c r="F21">
        <v>3</v>
      </c>
      <c r="G21">
        <v>4</v>
      </c>
      <c r="H21" t="s">
        <v>48</v>
      </c>
      <c r="I21">
        <v>1</v>
      </c>
      <c r="J21">
        <v>0.52262369997333702</v>
      </c>
      <c r="K21" t="s">
        <v>49</v>
      </c>
      <c r="L21">
        <v>4</v>
      </c>
      <c r="M21">
        <v>3</v>
      </c>
      <c r="N21">
        <v>19</v>
      </c>
      <c r="O21">
        <v>2</v>
      </c>
      <c r="P21">
        <v>22.776539999991599</v>
      </c>
      <c r="U21">
        <v>22.7703254999942</v>
      </c>
      <c r="V21">
        <v>22.776539999991599</v>
      </c>
      <c r="W21">
        <v>23.276138300017902</v>
      </c>
      <c r="X21">
        <v>23.276138300017902</v>
      </c>
      <c r="Y21">
        <v>23.276138300017902</v>
      </c>
      <c r="Z21">
        <v>23.814177000021999</v>
      </c>
      <c r="AA21" t="s">
        <v>48</v>
      </c>
      <c r="AB21">
        <v>1</v>
      </c>
      <c r="AC21">
        <v>0.52262369997333702</v>
      </c>
      <c r="AD21" t="s">
        <v>49</v>
      </c>
      <c r="AI21">
        <v>3</v>
      </c>
      <c r="AJ21">
        <v>1</v>
      </c>
      <c r="AK21" t="s">
        <v>57</v>
      </c>
      <c r="AL21" t="s">
        <v>42</v>
      </c>
      <c r="AN21" t="s">
        <v>43</v>
      </c>
      <c r="AO21">
        <v>60.122818891740501</v>
      </c>
      <c r="AP21" t="s">
        <v>58</v>
      </c>
    </row>
    <row r="22" spans="1:42" x14ac:dyDescent="0.4">
      <c r="R22">
        <v>1.21177000110037E-2</v>
      </c>
      <c r="S22">
        <v>2.5979599973652501E-2</v>
      </c>
      <c r="T22">
        <v>1.00019809999503</v>
      </c>
      <c r="AI22">
        <v>3</v>
      </c>
      <c r="AJ22">
        <v>1</v>
      </c>
      <c r="AK22" t="s">
        <v>57</v>
      </c>
      <c r="AL22" t="s">
        <v>42</v>
      </c>
      <c r="AN22" t="s">
        <v>43</v>
      </c>
      <c r="AO22">
        <v>60.122818891740501</v>
      </c>
      <c r="AP22" t="s">
        <v>58</v>
      </c>
    </row>
    <row r="23" spans="1:42" x14ac:dyDescent="0.4">
      <c r="AE23">
        <v>23.814376499969502</v>
      </c>
      <c r="AF23">
        <v>23.826480999996399</v>
      </c>
      <c r="AG23">
        <v>24.826501399977101</v>
      </c>
      <c r="AH23">
        <v>24.813426700013199</v>
      </c>
      <c r="AI23">
        <v>3</v>
      </c>
      <c r="AJ23">
        <v>1</v>
      </c>
      <c r="AK23" t="s">
        <v>57</v>
      </c>
      <c r="AL23" t="s">
        <v>42</v>
      </c>
      <c r="AN23" t="s">
        <v>43</v>
      </c>
      <c r="AO23">
        <v>60.122818891740501</v>
      </c>
      <c r="AP23" t="s">
        <v>58</v>
      </c>
    </row>
  </sheetData>
  <sortState xmlns:xlrd2="http://schemas.microsoft.com/office/spreadsheetml/2017/richdata2" ref="A2:AP23">
    <sortCondition ref="C1:C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FC94-7406-4736-BC91-675A80207742}">
  <dimension ref="A1:AP23"/>
  <sheetViews>
    <sheetView workbookViewId="0">
      <selection activeCell="I1" sqref="I1:I1048576"/>
    </sheetView>
  </sheetViews>
  <sheetFormatPr defaultRowHeight="14.6" x14ac:dyDescent="0.4"/>
  <sheetData>
    <row r="1" spans="1:4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54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4">
      <c r="A2" t="s">
        <v>50</v>
      </c>
      <c r="B2" t="s">
        <v>46</v>
      </c>
      <c r="C2" t="s">
        <v>51</v>
      </c>
      <c r="D2" t="s">
        <v>48</v>
      </c>
      <c r="E2">
        <v>1</v>
      </c>
      <c r="F2">
        <v>1</v>
      </c>
      <c r="G2">
        <v>0</v>
      </c>
      <c r="H2" t="s">
        <v>48</v>
      </c>
      <c r="I2">
        <v>1</v>
      </c>
      <c r="J2">
        <v>0.541370599996298</v>
      </c>
      <c r="K2" t="s">
        <v>49</v>
      </c>
      <c r="L2">
        <v>0</v>
      </c>
      <c r="M2">
        <v>1</v>
      </c>
      <c r="N2">
        <v>1</v>
      </c>
      <c r="O2">
        <v>0</v>
      </c>
      <c r="P2">
        <v>2.2023441999917801</v>
      </c>
      <c r="U2">
        <v>2.1829407999757602</v>
      </c>
      <c r="V2">
        <v>2.2023441999917801</v>
      </c>
      <c r="W2">
        <v>2.6861961000249699</v>
      </c>
      <c r="X2">
        <v>2.6861961000249699</v>
      </c>
      <c r="Y2">
        <v>2.6861961000249699</v>
      </c>
      <c r="Z2">
        <v>3.24085270002251</v>
      </c>
      <c r="AA2" t="s">
        <v>48</v>
      </c>
      <c r="AB2">
        <v>1</v>
      </c>
      <c r="AC2">
        <v>0.541370599996298</v>
      </c>
      <c r="AD2" t="s">
        <v>49</v>
      </c>
      <c r="AI2">
        <v>4</v>
      </c>
      <c r="AJ2">
        <v>1</v>
      </c>
      <c r="AK2" t="s">
        <v>59</v>
      </c>
      <c r="AL2" t="s">
        <v>42</v>
      </c>
      <c r="AN2" t="s">
        <v>43</v>
      </c>
      <c r="AO2">
        <v>60.012698685926402</v>
      </c>
      <c r="AP2" t="s">
        <v>60</v>
      </c>
    </row>
    <row r="3" spans="1:42" x14ac:dyDescent="0.4">
      <c r="A3" t="s">
        <v>45</v>
      </c>
      <c r="B3" t="s">
        <v>52</v>
      </c>
      <c r="C3" t="s">
        <v>51</v>
      </c>
      <c r="D3" t="s">
        <v>53</v>
      </c>
      <c r="E3">
        <v>2</v>
      </c>
      <c r="F3">
        <v>2</v>
      </c>
      <c r="G3">
        <v>0</v>
      </c>
      <c r="H3" t="s">
        <v>53</v>
      </c>
      <c r="I3">
        <v>1</v>
      </c>
      <c r="J3">
        <v>0.40430009999545202</v>
      </c>
      <c r="K3" t="s">
        <v>49</v>
      </c>
      <c r="L3">
        <v>0</v>
      </c>
      <c r="M3">
        <v>2</v>
      </c>
      <c r="N3">
        <v>2</v>
      </c>
      <c r="O3">
        <v>3</v>
      </c>
      <c r="P3">
        <v>3.2525310000055399</v>
      </c>
      <c r="U3">
        <v>3.2469910000217999</v>
      </c>
      <c r="V3">
        <v>3.2525310000055399</v>
      </c>
      <c r="W3">
        <v>3.7528699000249599</v>
      </c>
      <c r="X3">
        <v>3.7528699000249599</v>
      </c>
      <c r="Y3">
        <v>3.7528699000249599</v>
      </c>
      <c r="Z3">
        <v>4.1725891000241901</v>
      </c>
      <c r="AA3" t="s">
        <v>53</v>
      </c>
      <c r="AB3">
        <v>1</v>
      </c>
      <c r="AC3">
        <v>0.40430009999545202</v>
      </c>
      <c r="AD3" t="s">
        <v>49</v>
      </c>
      <c r="AI3">
        <v>4</v>
      </c>
      <c r="AJ3">
        <v>1</v>
      </c>
      <c r="AK3" t="s">
        <v>59</v>
      </c>
      <c r="AL3" t="s">
        <v>42</v>
      </c>
      <c r="AN3" t="s">
        <v>43</v>
      </c>
      <c r="AO3">
        <v>60.012698685926402</v>
      </c>
      <c r="AP3" t="s">
        <v>60</v>
      </c>
    </row>
    <row r="4" spans="1:42" x14ac:dyDescent="0.4">
      <c r="A4" t="s">
        <v>50</v>
      </c>
      <c r="B4" t="s">
        <v>46</v>
      </c>
      <c r="C4" t="s">
        <v>51</v>
      </c>
      <c r="D4" t="s">
        <v>48</v>
      </c>
      <c r="E4">
        <v>4</v>
      </c>
      <c r="F4">
        <v>0</v>
      </c>
      <c r="G4">
        <v>1</v>
      </c>
      <c r="H4" t="s">
        <v>48</v>
      </c>
      <c r="I4">
        <v>1</v>
      </c>
      <c r="J4">
        <v>0.43528999999398299</v>
      </c>
      <c r="K4" t="s">
        <v>49</v>
      </c>
      <c r="L4">
        <v>1</v>
      </c>
      <c r="M4">
        <v>0</v>
      </c>
      <c r="N4">
        <v>4</v>
      </c>
      <c r="O4">
        <v>0</v>
      </c>
      <c r="P4">
        <v>5.2860468999715504</v>
      </c>
      <c r="U4">
        <v>5.2783770000096402</v>
      </c>
      <c r="V4">
        <v>5.2860468999715504</v>
      </c>
      <c r="W4">
        <v>5.7860194999957404</v>
      </c>
      <c r="X4">
        <v>5.7860194999957404</v>
      </c>
      <c r="Y4">
        <v>5.7860194999957404</v>
      </c>
      <c r="Z4">
        <v>6.22371490002842</v>
      </c>
      <c r="AA4" t="s">
        <v>48</v>
      </c>
      <c r="AB4">
        <v>1</v>
      </c>
      <c r="AC4">
        <v>0.43528999999398299</v>
      </c>
      <c r="AD4" t="s">
        <v>49</v>
      </c>
      <c r="AI4">
        <v>4</v>
      </c>
      <c r="AJ4">
        <v>1</v>
      </c>
      <c r="AK4" t="s">
        <v>59</v>
      </c>
      <c r="AL4" t="s">
        <v>42</v>
      </c>
      <c r="AN4" t="s">
        <v>43</v>
      </c>
      <c r="AO4">
        <v>60.012698685926402</v>
      </c>
      <c r="AP4" t="s">
        <v>60</v>
      </c>
    </row>
    <row r="5" spans="1:42" x14ac:dyDescent="0.4">
      <c r="A5" t="s">
        <v>45</v>
      </c>
      <c r="B5" t="s">
        <v>52</v>
      </c>
      <c r="C5" t="s">
        <v>51</v>
      </c>
      <c r="D5" t="s">
        <v>53</v>
      </c>
      <c r="E5">
        <v>6</v>
      </c>
      <c r="F5">
        <v>2</v>
      </c>
      <c r="G5">
        <v>1</v>
      </c>
      <c r="H5" t="s">
        <v>53</v>
      </c>
      <c r="I5">
        <v>1</v>
      </c>
      <c r="J5">
        <v>0.37199239997425998</v>
      </c>
      <c r="K5" t="s">
        <v>49</v>
      </c>
      <c r="L5">
        <v>1</v>
      </c>
      <c r="M5">
        <v>2</v>
      </c>
      <c r="N5">
        <v>6</v>
      </c>
      <c r="O5">
        <v>3</v>
      </c>
      <c r="P5">
        <v>7.1859976000268899</v>
      </c>
      <c r="U5">
        <v>7.1742894999915698</v>
      </c>
      <c r="V5">
        <v>7.1859976000268899</v>
      </c>
      <c r="W5">
        <v>7.6865885999868597</v>
      </c>
      <c r="X5">
        <v>7.6865885999868597</v>
      </c>
      <c r="Y5">
        <v>7.6865885999868597</v>
      </c>
      <c r="Z5">
        <v>8.0728633999824506</v>
      </c>
      <c r="AA5" t="s">
        <v>53</v>
      </c>
      <c r="AB5">
        <v>1</v>
      </c>
      <c r="AC5">
        <v>0.37199239997425998</v>
      </c>
      <c r="AD5" t="s">
        <v>49</v>
      </c>
      <c r="AI5">
        <v>4</v>
      </c>
      <c r="AJ5">
        <v>1</v>
      </c>
      <c r="AK5" t="s">
        <v>59</v>
      </c>
      <c r="AL5" t="s">
        <v>42</v>
      </c>
      <c r="AN5" t="s">
        <v>43</v>
      </c>
      <c r="AO5">
        <v>60.012698685926402</v>
      </c>
      <c r="AP5" t="s">
        <v>60</v>
      </c>
    </row>
    <row r="6" spans="1:42" x14ac:dyDescent="0.4">
      <c r="A6" t="s">
        <v>50</v>
      </c>
      <c r="B6" t="s">
        <v>46</v>
      </c>
      <c r="C6" t="s">
        <v>51</v>
      </c>
      <c r="D6" t="s">
        <v>48</v>
      </c>
      <c r="E6">
        <v>9</v>
      </c>
      <c r="F6">
        <v>1</v>
      </c>
      <c r="G6">
        <v>2</v>
      </c>
      <c r="H6" t="s">
        <v>48</v>
      </c>
      <c r="I6">
        <v>1</v>
      </c>
      <c r="J6">
        <v>0.59903159999521405</v>
      </c>
      <c r="K6" t="s">
        <v>49</v>
      </c>
      <c r="L6">
        <v>2</v>
      </c>
      <c r="M6">
        <v>1</v>
      </c>
      <c r="N6">
        <v>9</v>
      </c>
      <c r="O6">
        <v>0</v>
      </c>
      <c r="P6">
        <v>9.7698193999822198</v>
      </c>
      <c r="U6">
        <v>9.7580238999798894</v>
      </c>
      <c r="V6">
        <v>9.7698193999822198</v>
      </c>
      <c r="W6">
        <v>10.2695689999964</v>
      </c>
      <c r="X6">
        <v>10.2695689999964</v>
      </c>
      <c r="Y6">
        <v>10.2695689999964</v>
      </c>
      <c r="Z6">
        <v>10.8755838000215</v>
      </c>
      <c r="AA6" t="s">
        <v>48</v>
      </c>
      <c r="AB6">
        <v>1</v>
      </c>
      <c r="AC6">
        <v>0.59903159999521405</v>
      </c>
      <c r="AD6" t="s">
        <v>49</v>
      </c>
      <c r="AI6">
        <v>4</v>
      </c>
      <c r="AJ6">
        <v>1</v>
      </c>
      <c r="AK6" t="s">
        <v>59</v>
      </c>
      <c r="AL6" t="s">
        <v>42</v>
      </c>
      <c r="AN6" t="s">
        <v>43</v>
      </c>
      <c r="AO6">
        <v>60.012698685926402</v>
      </c>
      <c r="AP6" t="s">
        <v>60</v>
      </c>
    </row>
    <row r="7" spans="1:42" x14ac:dyDescent="0.4">
      <c r="A7" t="s">
        <v>45</v>
      </c>
      <c r="B7" t="s">
        <v>52</v>
      </c>
      <c r="C7" t="s">
        <v>51</v>
      </c>
      <c r="D7" t="s">
        <v>53</v>
      </c>
      <c r="E7">
        <v>10</v>
      </c>
      <c r="F7">
        <v>2</v>
      </c>
      <c r="G7">
        <v>2</v>
      </c>
      <c r="H7" t="s">
        <v>53</v>
      </c>
      <c r="I7">
        <v>1</v>
      </c>
      <c r="J7">
        <v>0.476550200022757</v>
      </c>
      <c r="K7" t="s">
        <v>49</v>
      </c>
      <c r="L7">
        <v>2</v>
      </c>
      <c r="M7">
        <v>2</v>
      </c>
      <c r="N7">
        <v>10</v>
      </c>
      <c r="O7">
        <v>3</v>
      </c>
      <c r="P7">
        <v>10.886128199985199</v>
      </c>
      <c r="U7">
        <v>10.879522799979799</v>
      </c>
      <c r="V7">
        <v>10.886128199985199</v>
      </c>
      <c r="W7">
        <v>11.3859571000211</v>
      </c>
      <c r="X7">
        <v>11.3859571000211</v>
      </c>
      <c r="Y7">
        <v>11.3859571000211</v>
      </c>
      <c r="Z7">
        <v>11.872918099979801</v>
      </c>
      <c r="AA7" t="s">
        <v>53</v>
      </c>
      <c r="AB7">
        <v>1</v>
      </c>
      <c r="AC7">
        <v>0.476550200022757</v>
      </c>
      <c r="AD7" t="s">
        <v>49</v>
      </c>
      <c r="AI7">
        <v>4</v>
      </c>
      <c r="AJ7">
        <v>1</v>
      </c>
      <c r="AK7" t="s">
        <v>59</v>
      </c>
      <c r="AL7" t="s">
        <v>42</v>
      </c>
      <c r="AN7" t="s">
        <v>43</v>
      </c>
      <c r="AO7">
        <v>60.012698685926402</v>
      </c>
      <c r="AP7" t="s">
        <v>60</v>
      </c>
    </row>
    <row r="8" spans="1:42" x14ac:dyDescent="0.4">
      <c r="A8" t="s">
        <v>45</v>
      </c>
      <c r="B8" t="s">
        <v>52</v>
      </c>
      <c r="C8" t="s">
        <v>51</v>
      </c>
      <c r="D8" t="s">
        <v>53</v>
      </c>
      <c r="E8">
        <v>13</v>
      </c>
      <c r="F8">
        <v>1</v>
      </c>
      <c r="G8">
        <v>3</v>
      </c>
      <c r="H8" t="s">
        <v>53</v>
      </c>
      <c r="I8">
        <v>1</v>
      </c>
      <c r="J8">
        <v>0.355852199951186</v>
      </c>
      <c r="K8" t="s">
        <v>49</v>
      </c>
      <c r="L8">
        <v>3</v>
      </c>
      <c r="M8">
        <v>1</v>
      </c>
      <c r="N8">
        <v>13</v>
      </c>
      <c r="O8">
        <v>3</v>
      </c>
      <c r="P8">
        <v>14.036473300016899</v>
      </c>
      <c r="U8">
        <v>14.0256611999939</v>
      </c>
      <c r="V8">
        <v>14.036473300016899</v>
      </c>
      <c r="W8">
        <v>14.5363270000088</v>
      </c>
      <c r="X8">
        <v>14.5363270000088</v>
      </c>
      <c r="Y8">
        <v>14.5363270000088</v>
      </c>
      <c r="Z8">
        <v>14.9055097000091</v>
      </c>
      <c r="AA8" t="s">
        <v>53</v>
      </c>
      <c r="AB8">
        <v>1</v>
      </c>
      <c r="AC8">
        <v>0.355852199951186</v>
      </c>
      <c r="AD8" t="s">
        <v>49</v>
      </c>
      <c r="AI8">
        <v>4</v>
      </c>
      <c r="AJ8">
        <v>1</v>
      </c>
      <c r="AK8" t="s">
        <v>59</v>
      </c>
      <c r="AL8" t="s">
        <v>42</v>
      </c>
      <c r="AN8" t="s">
        <v>43</v>
      </c>
      <c r="AO8">
        <v>60.012698685926402</v>
      </c>
      <c r="AP8" t="s">
        <v>60</v>
      </c>
    </row>
    <row r="9" spans="1:42" x14ac:dyDescent="0.4">
      <c r="A9" t="s">
        <v>50</v>
      </c>
      <c r="B9" t="s">
        <v>46</v>
      </c>
      <c r="C9" t="s">
        <v>51</v>
      </c>
      <c r="D9" t="s">
        <v>48</v>
      </c>
      <c r="E9">
        <v>15</v>
      </c>
      <c r="F9">
        <v>3</v>
      </c>
      <c r="G9">
        <v>3</v>
      </c>
      <c r="H9" t="s">
        <v>48</v>
      </c>
      <c r="I9">
        <v>1</v>
      </c>
      <c r="J9">
        <v>0.30317520000971798</v>
      </c>
      <c r="K9" t="s">
        <v>49</v>
      </c>
      <c r="L9">
        <v>3</v>
      </c>
      <c r="M9">
        <v>3</v>
      </c>
      <c r="N9">
        <v>15</v>
      </c>
      <c r="O9">
        <v>0</v>
      </c>
      <c r="P9">
        <v>15.8526526999776</v>
      </c>
      <c r="U9">
        <v>15.8413769999751</v>
      </c>
      <c r="V9">
        <v>15.8526526999776</v>
      </c>
      <c r="W9">
        <v>16.3534441000083</v>
      </c>
      <c r="X9">
        <v>16.3534441000083</v>
      </c>
      <c r="Y9">
        <v>16.3534441000083</v>
      </c>
      <c r="Z9">
        <v>16.660117599996699</v>
      </c>
      <c r="AA9" t="s">
        <v>48</v>
      </c>
      <c r="AB9">
        <v>1</v>
      </c>
      <c r="AC9">
        <v>0.30317520000971798</v>
      </c>
      <c r="AD9" t="s">
        <v>49</v>
      </c>
      <c r="AI9">
        <v>4</v>
      </c>
      <c r="AJ9">
        <v>1</v>
      </c>
      <c r="AK9" t="s">
        <v>59</v>
      </c>
      <c r="AL9" t="s">
        <v>42</v>
      </c>
      <c r="AN9" t="s">
        <v>43</v>
      </c>
      <c r="AO9">
        <v>60.012698685926402</v>
      </c>
      <c r="AP9" t="s">
        <v>60</v>
      </c>
    </row>
    <row r="10" spans="1:42" x14ac:dyDescent="0.4">
      <c r="A10" t="s">
        <v>50</v>
      </c>
      <c r="B10" t="s">
        <v>46</v>
      </c>
      <c r="C10" t="s">
        <v>51</v>
      </c>
      <c r="D10" t="s">
        <v>48</v>
      </c>
      <c r="E10">
        <v>16</v>
      </c>
      <c r="F10">
        <v>0</v>
      </c>
      <c r="G10">
        <v>4</v>
      </c>
      <c r="H10" t="s">
        <v>53</v>
      </c>
      <c r="I10">
        <v>0</v>
      </c>
      <c r="J10">
        <v>0.412160200008656</v>
      </c>
      <c r="K10" t="s">
        <v>49</v>
      </c>
      <c r="L10">
        <v>4</v>
      </c>
      <c r="M10">
        <v>0</v>
      </c>
      <c r="N10">
        <v>16</v>
      </c>
      <c r="O10">
        <v>0</v>
      </c>
      <c r="P10">
        <v>16.669696299999401</v>
      </c>
      <c r="U10">
        <v>16.660978000028901</v>
      </c>
      <c r="V10">
        <v>16.669696299999401</v>
      </c>
      <c r="W10">
        <v>17.169683800020699</v>
      </c>
      <c r="X10">
        <v>17.169683800020699</v>
      </c>
      <c r="Y10">
        <v>17.169683800020699</v>
      </c>
      <c r="Z10">
        <v>17.588030299986698</v>
      </c>
      <c r="AA10" t="s">
        <v>53</v>
      </c>
      <c r="AB10">
        <v>0</v>
      </c>
      <c r="AC10">
        <v>0.412160200008656</v>
      </c>
      <c r="AD10" t="s">
        <v>49</v>
      </c>
      <c r="AI10">
        <v>4</v>
      </c>
      <c r="AJ10">
        <v>1</v>
      </c>
      <c r="AK10" t="s">
        <v>59</v>
      </c>
      <c r="AL10" t="s">
        <v>42</v>
      </c>
      <c r="AN10" t="s">
        <v>43</v>
      </c>
      <c r="AO10">
        <v>60.012698685926402</v>
      </c>
      <c r="AP10" t="s">
        <v>60</v>
      </c>
    </row>
    <row r="11" spans="1:42" x14ac:dyDescent="0.4">
      <c r="A11" t="s">
        <v>45</v>
      </c>
      <c r="B11" t="s">
        <v>52</v>
      </c>
      <c r="C11" t="s">
        <v>51</v>
      </c>
      <c r="D11" t="s">
        <v>53</v>
      </c>
      <c r="E11">
        <v>18</v>
      </c>
      <c r="F11">
        <v>2</v>
      </c>
      <c r="G11">
        <v>4</v>
      </c>
      <c r="H11" t="s">
        <v>53</v>
      </c>
      <c r="I11">
        <v>1</v>
      </c>
      <c r="J11">
        <v>0.54068570001982097</v>
      </c>
      <c r="K11" t="s">
        <v>49</v>
      </c>
      <c r="L11">
        <v>4</v>
      </c>
      <c r="M11">
        <v>2</v>
      </c>
      <c r="N11">
        <v>18</v>
      </c>
      <c r="O11">
        <v>3</v>
      </c>
      <c r="P11">
        <v>18.736036500020401</v>
      </c>
      <c r="U11">
        <v>18.730707700015</v>
      </c>
      <c r="V11">
        <v>18.736036500020401</v>
      </c>
      <c r="W11">
        <v>19.236233200004701</v>
      </c>
      <c r="X11">
        <v>19.236233200004701</v>
      </c>
      <c r="Y11">
        <v>19.236233200004701</v>
      </c>
      <c r="Z11">
        <v>19.792287199990799</v>
      </c>
      <c r="AA11" t="s">
        <v>53</v>
      </c>
      <c r="AB11">
        <v>1</v>
      </c>
      <c r="AC11">
        <v>0.54068570001982097</v>
      </c>
      <c r="AD11" t="s">
        <v>49</v>
      </c>
      <c r="AI11">
        <v>4</v>
      </c>
      <c r="AJ11">
        <v>1</v>
      </c>
      <c r="AK11" t="s">
        <v>59</v>
      </c>
      <c r="AL11" t="s">
        <v>42</v>
      </c>
      <c r="AN11" t="s">
        <v>43</v>
      </c>
      <c r="AO11">
        <v>60.012698685926402</v>
      </c>
      <c r="AP11" t="s">
        <v>60</v>
      </c>
    </row>
    <row r="12" spans="1:42" x14ac:dyDescent="0.4">
      <c r="A12" t="s">
        <v>50</v>
      </c>
      <c r="B12" t="s">
        <v>52</v>
      </c>
      <c r="C12" t="s">
        <v>47</v>
      </c>
      <c r="D12" t="s">
        <v>53</v>
      </c>
      <c r="E12">
        <v>0</v>
      </c>
      <c r="F12">
        <v>0</v>
      </c>
      <c r="G12">
        <v>0</v>
      </c>
      <c r="H12" t="s">
        <v>48</v>
      </c>
      <c r="I12">
        <v>0</v>
      </c>
      <c r="J12">
        <v>0.66687289997935295</v>
      </c>
      <c r="K12" t="s">
        <v>49</v>
      </c>
      <c r="L12">
        <v>0</v>
      </c>
      <c r="M12">
        <v>0</v>
      </c>
      <c r="N12">
        <v>0</v>
      </c>
      <c r="O12">
        <v>1</v>
      </c>
      <c r="P12">
        <v>1.0518879999872199</v>
      </c>
      <c r="U12">
        <v>1.0333759000059199</v>
      </c>
      <c r="V12">
        <v>1.0518879999872199</v>
      </c>
      <c r="W12">
        <v>1.50249560002703</v>
      </c>
      <c r="X12">
        <v>1.50249560002703</v>
      </c>
      <c r="Y12">
        <v>1.50249560002703</v>
      </c>
      <c r="Z12">
        <v>2.1821044000098402</v>
      </c>
      <c r="AA12" t="s">
        <v>48</v>
      </c>
      <c r="AB12">
        <v>0</v>
      </c>
      <c r="AC12">
        <v>0.66687289997935295</v>
      </c>
      <c r="AD12" t="s">
        <v>49</v>
      </c>
      <c r="AI12">
        <v>4</v>
      </c>
      <c r="AJ12">
        <v>1</v>
      </c>
      <c r="AK12" t="s">
        <v>59</v>
      </c>
      <c r="AL12" t="s">
        <v>42</v>
      </c>
      <c r="AN12" t="s">
        <v>43</v>
      </c>
      <c r="AO12">
        <v>60.012698685926402</v>
      </c>
      <c r="AP12" t="s">
        <v>60</v>
      </c>
    </row>
    <row r="13" spans="1:42" x14ac:dyDescent="0.4">
      <c r="A13" t="s">
        <v>45</v>
      </c>
      <c r="B13" t="s">
        <v>46</v>
      </c>
      <c r="C13" t="s">
        <v>47</v>
      </c>
      <c r="D13" t="s">
        <v>48</v>
      </c>
      <c r="E13">
        <v>3</v>
      </c>
      <c r="F13">
        <v>3</v>
      </c>
      <c r="G13">
        <v>0</v>
      </c>
      <c r="H13" t="s">
        <v>48</v>
      </c>
      <c r="I13">
        <v>1</v>
      </c>
      <c r="J13">
        <v>0.57188990002032303</v>
      </c>
      <c r="K13" t="s">
        <v>49</v>
      </c>
      <c r="L13">
        <v>0</v>
      </c>
      <c r="M13">
        <v>3</v>
      </c>
      <c r="N13">
        <v>3</v>
      </c>
      <c r="O13">
        <v>2</v>
      </c>
      <c r="P13">
        <v>4.1863258000230399</v>
      </c>
      <c r="U13">
        <v>4.1729336000280401</v>
      </c>
      <c r="V13">
        <v>4.1863258000230399</v>
      </c>
      <c r="W13">
        <v>4.6863544000079802</v>
      </c>
      <c r="X13">
        <v>4.6863544000079802</v>
      </c>
      <c r="Y13">
        <v>4.6863544000079802</v>
      </c>
      <c r="Z13">
        <v>5.27506920002633</v>
      </c>
      <c r="AA13" t="s">
        <v>48</v>
      </c>
      <c r="AB13">
        <v>1</v>
      </c>
      <c r="AC13">
        <v>0.57188990002032303</v>
      </c>
      <c r="AD13" t="s">
        <v>49</v>
      </c>
      <c r="AI13">
        <v>4</v>
      </c>
      <c r="AJ13">
        <v>1</v>
      </c>
      <c r="AK13" t="s">
        <v>59</v>
      </c>
      <c r="AL13" t="s">
        <v>42</v>
      </c>
      <c r="AN13" t="s">
        <v>43</v>
      </c>
      <c r="AO13">
        <v>60.012698685926402</v>
      </c>
      <c r="AP13" t="s">
        <v>60</v>
      </c>
    </row>
    <row r="14" spans="1:42" x14ac:dyDescent="0.4">
      <c r="A14" t="s">
        <v>50</v>
      </c>
      <c r="B14" t="s">
        <v>52</v>
      </c>
      <c r="C14" t="s">
        <v>47</v>
      </c>
      <c r="D14" t="s">
        <v>53</v>
      </c>
      <c r="E14">
        <v>5</v>
      </c>
      <c r="F14">
        <v>1</v>
      </c>
      <c r="G14">
        <v>1</v>
      </c>
      <c r="H14" t="s">
        <v>53</v>
      </c>
      <c r="I14">
        <v>1</v>
      </c>
      <c r="J14">
        <v>0.42971619998570498</v>
      </c>
      <c r="K14" t="s">
        <v>49</v>
      </c>
      <c r="L14">
        <v>1</v>
      </c>
      <c r="M14">
        <v>1</v>
      </c>
      <c r="N14">
        <v>5</v>
      </c>
      <c r="O14">
        <v>1</v>
      </c>
      <c r="P14">
        <v>6.2369707999750901</v>
      </c>
      <c r="U14">
        <v>6.2245100999716598</v>
      </c>
      <c r="V14">
        <v>6.2369707999750901</v>
      </c>
      <c r="W14">
        <v>6.7362584000220496</v>
      </c>
      <c r="X14">
        <v>6.7362584000220496</v>
      </c>
      <c r="Y14">
        <v>6.7362584000220496</v>
      </c>
      <c r="Z14">
        <v>7.17220420000376</v>
      </c>
      <c r="AA14" t="s">
        <v>53</v>
      </c>
      <c r="AB14">
        <v>1</v>
      </c>
      <c r="AC14">
        <v>0.42971619998570498</v>
      </c>
      <c r="AD14" t="s">
        <v>49</v>
      </c>
      <c r="AI14">
        <v>4</v>
      </c>
      <c r="AJ14">
        <v>1</v>
      </c>
      <c r="AK14" t="s">
        <v>59</v>
      </c>
      <c r="AL14" t="s">
        <v>42</v>
      </c>
      <c r="AN14" t="s">
        <v>43</v>
      </c>
      <c r="AO14">
        <v>60.012698685926402</v>
      </c>
      <c r="AP14" t="s">
        <v>60</v>
      </c>
    </row>
    <row r="15" spans="1:42" x14ac:dyDescent="0.4">
      <c r="A15" t="s">
        <v>45</v>
      </c>
      <c r="B15" t="s">
        <v>46</v>
      </c>
      <c r="C15" t="s">
        <v>47</v>
      </c>
      <c r="D15" t="s">
        <v>48</v>
      </c>
      <c r="E15">
        <v>7</v>
      </c>
      <c r="F15">
        <v>3</v>
      </c>
      <c r="G15">
        <v>1</v>
      </c>
      <c r="H15" t="s">
        <v>48</v>
      </c>
      <c r="I15">
        <v>1</v>
      </c>
      <c r="J15">
        <v>0.30837959999916997</v>
      </c>
      <c r="K15" t="s">
        <v>49</v>
      </c>
      <c r="L15">
        <v>1</v>
      </c>
      <c r="M15">
        <v>3</v>
      </c>
      <c r="N15">
        <v>7</v>
      </c>
      <c r="O15">
        <v>2</v>
      </c>
      <c r="P15">
        <v>8.0863709999830409</v>
      </c>
      <c r="U15">
        <v>8.0734141999855602</v>
      </c>
      <c r="V15">
        <v>8.0863709999830409</v>
      </c>
      <c r="W15">
        <v>8.5868786000064503</v>
      </c>
      <c r="X15">
        <v>8.5868786000064503</v>
      </c>
      <c r="Y15">
        <v>8.5868786000064503</v>
      </c>
      <c r="Z15">
        <v>8.9054747999762096</v>
      </c>
      <c r="AA15" t="s">
        <v>48</v>
      </c>
      <c r="AB15">
        <v>1</v>
      </c>
      <c r="AC15">
        <v>0.30837959999916997</v>
      </c>
      <c r="AD15" t="s">
        <v>49</v>
      </c>
      <c r="AI15">
        <v>4</v>
      </c>
      <c r="AJ15">
        <v>1</v>
      </c>
      <c r="AK15" t="s">
        <v>59</v>
      </c>
      <c r="AL15" t="s">
        <v>42</v>
      </c>
      <c r="AN15" t="s">
        <v>43</v>
      </c>
      <c r="AO15">
        <v>60.012698685926402</v>
      </c>
      <c r="AP15" t="s">
        <v>60</v>
      </c>
    </row>
    <row r="16" spans="1:42" x14ac:dyDescent="0.4">
      <c r="A16" t="s">
        <v>50</v>
      </c>
      <c r="B16" t="s">
        <v>52</v>
      </c>
      <c r="C16" t="s">
        <v>47</v>
      </c>
      <c r="D16" t="s">
        <v>53</v>
      </c>
      <c r="E16">
        <v>8</v>
      </c>
      <c r="F16">
        <v>0</v>
      </c>
      <c r="G16">
        <v>2</v>
      </c>
      <c r="H16" t="s">
        <v>53</v>
      </c>
      <c r="I16">
        <v>1</v>
      </c>
      <c r="J16">
        <v>0.33147139998618502</v>
      </c>
      <c r="K16" t="s">
        <v>49</v>
      </c>
      <c r="L16">
        <v>2</v>
      </c>
      <c r="M16">
        <v>0</v>
      </c>
      <c r="N16">
        <v>8</v>
      </c>
      <c r="O16">
        <v>1</v>
      </c>
      <c r="P16">
        <v>8.9196415999904204</v>
      </c>
      <c r="U16">
        <v>8.9076104999985493</v>
      </c>
      <c r="V16">
        <v>8.9196415999904204</v>
      </c>
      <c r="W16">
        <v>9.4200370999751595</v>
      </c>
      <c r="X16">
        <v>9.4200370999751595</v>
      </c>
      <c r="Y16">
        <v>9.4200370999751595</v>
      </c>
      <c r="Z16">
        <v>9.7574617000063792</v>
      </c>
      <c r="AA16" t="s">
        <v>53</v>
      </c>
      <c r="AB16">
        <v>1</v>
      </c>
      <c r="AC16">
        <v>0.33147139998618502</v>
      </c>
      <c r="AD16" t="s">
        <v>49</v>
      </c>
      <c r="AI16">
        <v>4</v>
      </c>
      <c r="AJ16">
        <v>1</v>
      </c>
      <c r="AK16" t="s">
        <v>59</v>
      </c>
      <c r="AL16" t="s">
        <v>42</v>
      </c>
      <c r="AN16" t="s">
        <v>43</v>
      </c>
      <c r="AO16">
        <v>60.012698685926402</v>
      </c>
      <c r="AP16" t="s">
        <v>60</v>
      </c>
    </row>
    <row r="17" spans="1:42" x14ac:dyDescent="0.4">
      <c r="A17" t="s">
        <v>45</v>
      </c>
      <c r="B17" t="s">
        <v>46</v>
      </c>
      <c r="C17" t="s">
        <v>47</v>
      </c>
      <c r="D17" t="s">
        <v>48</v>
      </c>
      <c r="E17">
        <v>11</v>
      </c>
      <c r="F17">
        <v>3</v>
      </c>
      <c r="G17">
        <v>2</v>
      </c>
      <c r="H17" t="s">
        <v>48</v>
      </c>
      <c r="I17">
        <v>1</v>
      </c>
      <c r="J17">
        <v>0.42594709998229502</v>
      </c>
      <c r="K17" t="s">
        <v>49</v>
      </c>
      <c r="L17">
        <v>2</v>
      </c>
      <c r="M17">
        <v>3</v>
      </c>
      <c r="N17">
        <v>11</v>
      </c>
      <c r="O17">
        <v>2</v>
      </c>
      <c r="P17">
        <v>11.8859561000135</v>
      </c>
      <c r="U17">
        <v>11.873409699997801</v>
      </c>
      <c r="V17">
        <v>11.8859561000135</v>
      </c>
      <c r="W17">
        <v>12.3861013000132</v>
      </c>
      <c r="X17">
        <v>12.3861013000132</v>
      </c>
      <c r="Y17">
        <v>12.3861013000132</v>
      </c>
      <c r="Z17">
        <v>12.823089200013699</v>
      </c>
      <c r="AA17" t="s">
        <v>48</v>
      </c>
      <c r="AB17">
        <v>1</v>
      </c>
      <c r="AC17">
        <v>0.42594709998229502</v>
      </c>
      <c r="AD17" t="s">
        <v>49</v>
      </c>
      <c r="AI17">
        <v>4</v>
      </c>
      <c r="AJ17">
        <v>1</v>
      </c>
      <c r="AK17" t="s">
        <v>59</v>
      </c>
      <c r="AL17" t="s">
        <v>42</v>
      </c>
      <c r="AN17" t="s">
        <v>43</v>
      </c>
      <c r="AO17">
        <v>60.012698685926402</v>
      </c>
      <c r="AP17" t="s">
        <v>60</v>
      </c>
    </row>
    <row r="18" spans="1:42" x14ac:dyDescent="0.4">
      <c r="A18" t="s">
        <v>45</v>
      </c>
      <c r="B18" t="s">
        <v>46</v>
      </c>
      <c r="C18" t="s">
        <v>47</v>
      </c>
      <c r="D18" t="s">
        <v>48</v>
      </c>
      <c r="E18">
        <v>12</v>
      </c>
      <c r="F18">
        <v>0</v>
      </c>
      <c r="G18">
        <v>3</v>
      </c>
      <c r="H18" t="s">
        <v>48</v>
      </c>
      <c r="I18">
        <v>1</v>
      </c>
      <c r="J18">
        <v>0.68140389997279205</v>
      </c>
      <c r="K18" t="s">
        <v>49</v>
      </c>
      <c r="L18">
        <v>3</v>
      </c>
      <c r="M18">
        <v>0</v>
      </c>
      <c r="N18">
        <v>12</v>
      </c>
      <c r="O18">
        <v>2</v>
      </c>
      <c r="P18">
        <v>12.836169000016501</v>
      </c>
      <c r="U18">
        <v>12.8235969999805</v>
      </c>
      <c r="V18">
        <v>12.836169000016501</v>
      </c>
      <c r="W18">
        <v>13.3363310000277</v>
      </c>
      <c r="X18">
        <v>13.3363310000277</v>
      </c>
      <c r="Y18">
        <v>13.3363310000277</v>
      </c>
      <c r="Z18">
        <v>14.0250694000278</v>
      </c>
      <c r="AA18" t="s">
        <v>48</v>
      </c>
      <c r="AB18">
        <v>1</v>
      </c>
      <c r="AC18">
        <v>0.68140389997279205</v>
      </c>
      <c r="AD18" t="s">
        <v>49</v>
      </c>
      <c r="AI18">
        <v>4</v>
      </c>
      <c r="AJ18">
        <v>1</v>
      </c>
      <c r="AK18" t="s">
        <v>59</v>
      </c>
      <c r="AL18" t="s">
        <v>42</v>
      </c>
      <c r="AN18" t="s">
        <v>43</v>
      </c>
      <c r="AO18">
        <v>60.012698685926402</v>
      </c>
      <c r="AP18" t="s">
        <v>60</v>
      </c>
    </row>
    <row r="19" spans="1:42" x14ac:dyDescent="0.4">
      <c r="A19" t="s">
        <v>50</v>
      </c>
      <c r="B19" t="s">
        <v>52</v>
      </c>
      <c r="C19" t="s">
        <v>47</v>
      </c>
      <c r="D19" t="s">
        <v>53</v>
      </c>
      <c r="E19">
        <v>14</v>
      </c>
      <c r="F19">
        <v>2</v>
      </c>
      <c r="G19">
        <v>3</v>
      </c>
      <c r="H19" t="s">
        <v>53</v>
      </c>
      <c r="I19">
        <v>1</v>
      </c>
      <c r="J19">
        <v>0.40481879998696901</v>
      </c>
      <c r="K19" t="s">
        <v>49</v>
      </c>
      <c r="L19">
        <v>3</v>
      </c>
      <c r="M19">
        <v>2</v>
      </c>
      <c r="N19">
        <v>14</v>
      </c>
      <c r="O19">
        <v>1</v>
      </c>
      <c r="P19">
        <v>14.919431900023399</v>
      </c>
      <c r="U19">
        <v>14.909237799991301</v>
      </c>
      <c r="V19">
        <v>14.919431900023399</v>
      </c>
      <c r="W19">
        <v>15.419497099996001</v>
      </c>
      <c r="X19">
        <v>15.419497099996001</v>
      </c>
      <c r="Y19">
        <v>15.419497099996001</v>
      </c>
      <c r="Z19">
        <v>15.8406219999887</v>
      </c>
      <c r="AA19" t="s">
        <v>53</v>
      </c>
      <c r="AB19">
        <v>1</v>
      </c>
      <c r="AC19">
        <v>0.40481879998696901</v>
      </c>
      <c r="AD19" t="s">
        <v>49</v>
      </c>
      <c r="AI19">
        <v>4</v>
      </c>
      <c r="AJ19">
        <v>1</v>
      </c>
      <c r="AK19" t="s">
        <v>59</v>
      </c>
      <c r="AL19" t="s">
        <v>42</v>
      </c>
      <c r="AN19" t="s">
        <v>43</v>
      </c>
      <c r="AO19">
        <v>60.012698685926402</v>
      </c>
      <c r="AP19" t="s">
        <v>60</v>
      </c>
    </row>
    <row r="20" spans="1:42" x14ac:dyDescent="0.4">
      <c r="A20" t="s">
        <v>50</v>
      </c>
      <c r="B20" t="s">
        <v>52</v>
      </c>
      <c r="C20" t="s">
        <v>47</v>
      </c>
      <c r="D20" t="s">
        <v>53</v>
      </c>
      <c r="E20">
        <v>17</v>
      </c>
      <c r="F20">
        <v>1</v>
      </c>
      <c r="G20">
        <v>4</v>
      </c>
      <c r="H20" t="s">
        <v>53</v>
      </c>
      <c r="I20">
        <v>1</v>
      </c>
      <c r="J20">
        <v>0.60627170000225294</v>
      </c>
      <c r="K20" t="s">
        <v>49</v>
      </c>
      <c r="L20">
        <v>4</v>
      </c>
      <c r="M20">
        <v>1</v>
      </c>
      <c r="N20">
        <v>17</v>
      </c>
      <c r="O20">
        <v>1</v>
      </c>
      <c r="P20">
        <v>17.6022539000259</v>
      </c>
      <c r="U20">
        <v>17.5884096000227</v>
      </c>
      <c r="V20">
        <v>17.6022539000259</v>
      </c>
      <c r="W20">
        <v>18.103224300022699</v>
      </c>
      <c r="X20">
        <v>18.103224300022699</v>
      </c>
      <c r="Y20">
        <v>18.103224300022699</v>
      </c>
      <c r="Z20">
        <v>18.725882099999499</v>
      </c>
      <c r="AA20" t="s">
        <v>53</v>
      </c>
      <c r="AB20">
        <v>1</v>
      </c>
      <c r="AC20">
        <v>0.60627170000225294</v>
      </c>
      <c r="AD20" t="s">
        <v>49</v>
      </c>
      <c r="AI20">
        <v>4</v>
      </c>
      <c r="AJ20">
        <v>1</v>
      </c>
      <c r="AK20" t="s">
        <v>59</v>
      </c>
      <c r="AL20" t="s">
        <v>42</v>
      </c>
      <c r="AN20" t="s">
        <v>43</v>
      </c>
      <c r="AO20">
        <v>60.012698685926402</v>
      </c>
      <c r="AP20" t="s">
        <v>60</v>
      </c>
    </row>
    <row r="21" spans="1:42" x14ac:dyDescent="0.4">
      <c r="A21" t="s">
        <v>45</v>
      </c>
      <c r="B21" t="s">
        <v>46</v>
      </c>
      <c r="C21" t="s">
        <v>47</v>
      </c>
      <c r="D21" t="s">
        <v>48</v>
      </c>
      <c r="E21">
        <v>19</v>
      </c>
      <c r="F21">
        <v>3</v>
      </c>
      <c r="G21">
        <v>4</v>
      </c>
      <c r="H21" t="s">
        <v>48</v>
      </c>
      <c r="I21">
        <v>1</v>
      </c>
      <c r="J21">
        <v>0.42811310000251901</v>
      </c>
      <c r="K21" t="s">
        <v>49</v>
      </c>
      <c r="L21">
        <v>4</v>
      </c>
      <c r="M21">
        <v>3</v>
      </c>
      <c r="N21">
        <v>19</v>
      </c>
      <c r="O21">
        <v>2</v>
      </c>
      <c r="P21">
        <v>19.804261600016599</v>
      </c>
      <c r="U21">
        <v>19.793054400011801</v>
      </c>
      <c r="V21">
        <v>19.804261600016599</v>
      </c>
      <c r="W21">
        <v>20.302811399975301</v>
      </c>
      <c r="X21">
        <v>20.302811399975301</v>
      </c>
      <c r="Y21">
        <v>20.302811399975301</v>
      </c>
      <c r="Z21">
        <v>20.740411999984602</v>
      </c>
      <c r="AA21" t="s">
        <v>48</v>
      </c>
      <c r="AB21">
        <v>1</v>
      </c>
      <c r="AC21">
        <v>0.42811310000251901</v>
      </c>
      <c r="AD21" t="s">
        <v>49</v>
      </c>
      <c r="AI21">
        <v>4</v>
      </c>
      <c r="AJ21">
        <v>1</v>
      </c>
      <c r="AK21" t="s">
        <v>59</v>
      </c>
      <c r="AL21" t="s">
        <v>42</v>
      </c>
      <c r="AN21" t="s">
        <v>43</v>
      </c>
      <c r="AO21">
        <v>60.012698685926402</v>
      </c>
      <c r="AP21" t="s">
        <v>60</v>
      </c>
    </row>
    <row r="22" spans="1:42" x14ac:dyDescent="0.4">
      <c r="R22">
        <v>2.2364099975675299E-2</v>
      </c>
      <c r="S22">
        <v>3.6920799990184598E-2</v>
      </c>
      <c r="T22">
        <v>1.0098592999856899</v>
      </c>
      <c r="AI22">
        <v>4</v>
      </c>
      <c r="AJ22">
        <v>1</v>
      </c>
      <c r="AK22" t="s">
        <v>59</v>
      </c>
      <c r="AL22" t="s">
        <v>42</v>
      </c>
      <c r="AN22" t="s">
        <v>43</v>
      </c>
      <c r="AO22">
        <v>60.012698685926402</v>
      </c>
      <c r="AP22" t="s">
        <v>60</v>
      </c>
    </row>
    <row r="23" spans="1:42" x14ac:dyDescent="0.4">
      <c r="AE23">
        <v>20.740549199981601</v>
      </c>
      <c r="AF23">
        <v>20.753435200022</v>
      </c>
      <c r="AG23">
        <v>21.7528192999889</v>
      </c>
      <c r="AH23">
        <v>21.740177200001199</v>
      </c>
      <c r="AI23">
        <v>4</v>
      </c>
      <c r="AJ23">
        <v>1</v>
      </c>
      <c r="AK23" t="s">
        <v>59</v>
      </c>
      <c r="AL23" t="s">
        <v>42</v>
      </c>
      <c r="AN23" t="s">
        <v>43</v>
      </c>
      <c r="AO23">
        <v>60.012698685926402</v>
      </c>
      <c r="AP23" t="s">
        <v>60</v>
      </c>
    </row>
  </sheetData>
  <sortState xmlns:xlrd2="http://schemas.microsoft.com/office/spreadsheetml/2017/richdata2" ref="A2:AP23">
    <sortCondition ref="C1:C2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5F8B-7F6F-485D-8498-D6ADF9514B67}">
  <dimension ref="A1:S34"/>
  <sheetViews>
    <sheetView tabSelected="1" topLeftCell="A24" workbookViewId="0">
      <selection activeCell="M39" sqref="M39"/>
    </sheetView>
  </sheetViews>
  <sheetFormatPr defaultRowHeight="14.6" x14ac:dyDescent="0.4"/>
  <cols>
    <col min="1" max="1" width="10.23046875" customWidth="1"/>
  </cols>
  <sheetData>
    <row r="1" spans="1:19" x14ac:dyDescent="0.4">
      <c r="A1" s="2" t="s">
        <v>61</v>
      </c>
      <c r="B1" s="3" t="s">
        <v>2</v>
      </c>
      <c r="C1" s="3" t="s">
        <v>9</v>
      </c>
      <c r="D1" s="3" t="s">
        <v>8</v>
      </c>
      <c r="F1" s="2" t="s">
        <v>62</v>
      </c>
      <c r="G1" s="3" t="s">
        <v>2</v>
      </c>
      <c r="H1" s="3" t="s">
        <v>9</v>
      </c>
      <c r="I1" s="3" t="s">
        <v>8</v>
      </c>
      <c r="K1" s="2" t="s">
        <v>63</v>
      </c>
      <c r="L1" s="3" t="s">
        <v>2</v>
      </c>
      <c r="M1" s="3" t="s">
        <v>9</v>
      </c>
      <c r="N1" s="3" t="s">
        <v>8</v>
      </c>
      <c r="P1" s="2" t="s">
        <v>64</v>
      </c>
      <c r="Q1" s="3" t="s">
        <v>2</v>
      </c>
      <c r="R1" s="3" t="s">
        <v>9</v>
      </c>
      <c r="S1" s="3" t="s">
        <v>8</v>
      </c>
    </row>
    <row r="2" spans="1:19" x14ac:dyDescent="0.4">
      <c r="A2" s="3"/>
      <c r="B2" s="3" t="s">
        <v>51</v>
      </c>
      <c r="C2" s="3">
        <v>0.66867169999750298</v>
      </c>
      <c r="D2" s="3">
        <v>1</v>
      </c>
      <c r="F2" s="3"/>
      <c r="G2" s="3" t="s">
        <v>51</v>
      </c>
      <c r="H2" s="3">
        <v>0.47801040002377698</v>
      </c>
      <c r="I2" s="3">
        <v>1</v>
      </c>
      <c r="K2" s="3"/>
      <c r="L2" s="3" t="s">
        <v>51</v>
      </c>
      <c r="M2" s="3">
        <v>0.93503980000969</v>
      </c>
      <c r="N2" s="3">
        <v>1</v>
      </c>
      <c r="P2" s="3"/>
      <c r="Q2" s="3" t="s">
        <v>51</v>
      </c>
      <c r="R2" s="3">
        <v>0.541370599996298</v>
      </c>
      <c r="S2" s="3">
        <v>1</v>
      </c>
    </row>
    <row r="3" spans="1:19" x14ac:dyDescent="0.4">
      <c r="A3" s="3"/>
      <c r="B3" s="3" t="s">
        <v>51</v>
      </c>
      <c r="C3" s="3">
        <v>0.49376250000204802</v>
      </c>
      <c r="D3" s="3">
        <v>1</v>
      </c>
      <c r="F3" s="3"/>
      <c r="G3" s="3" t="s">
        <v>51</v>
      </c>
      <c r="H3" s="3">
        <v>0.54998900002101403</v>
      </c>
      <c r="I3" s="3">
        <v>1</v>
      </c>
      <c r="K3" s="3"/>
      <c r="L3" s="3" t="s">
        <v>51</v>
      </c>
      <c r="M3" s="3">
        <v>0.53361819998826798</v>
      </c>
      <c r="N3" s="3">
        <v>1</v>
      </c>
      <c r="P3" s="3"/>
      <c r="Q3" s="3" t="s">
        <v>51</v>
      </c>
      <c r="R3" s="3">
        <v>0.40430009999545202</v>
      </c>
      <c r="S3" s="3">
        <v>1</v>
      </c>
    </row>
    <row r="4" spans="1:19" x14ac:dyDescent="0.4">
      <c r="A4" s="3"/>
      <c r="B4" s="3" t="s">
        <v>51</v>
      </c>
      <c r="C4" s="3">
        <v>0.42850809998344602</v>
      </c>
      <c r="D4" s="3">
        <v>1</v>
      </c>
      <c r="F4" s="3"/>
      <c r="G4" s="3" t="s">
        <v>51</v>
      </c>
      <c r="H4" s="3">
        <v>0.61141640000278097</v>
      </c>
      <c r="I4" s="3">
        <v>1</v>
      </c>
      <c r="K4" s="3"/>
      <c r="L4" s="3" t="s">
        <v>51</v>
      </c>
      <c r="M4" s="3">
        <v>0.839317100006155</v>
      </c>
      <c r="N4" s="3">
        <v>1</v>
      </c>
      <c r="P4" s="3"/>
      <c r="Q4" s="3" t="s">
        <v>51</v>
      </c>
      <c r="R4" s="3">
        <v>0.43528999999398299</v>
      </c>
      <c r="S4" s="3">
        <v>1</v>
      </c>
    </row>
    <row r="5" spans="1:19" x14ac:dyDescent="0.4">
      <c r="A5" s="3"/>
      <c r="B5" s="3" t="s">
        <v>51</v>
      </c>
      <c r="C5" s="3">
        <v>0.49636069999541998</v>
      </c>
      <c r="D5" s="3">
        <v>1</v>
      </c>
      <c r="F5" s="3"/>
      <c r="G5" s="3" t="s">
        <v>51</v>
      </c>
      <c r="H5" s="3">
        <v>0.413367000001017</v>
      </c>
      <c r="I5" s="3">
        <v>1</v>
      </c>
      <c r="K5" s="3"/>
      <c r="L5" s="3" t="s">
        <v>51</v>
      </c>
      <c r="M5" s="3">
        <v>0.497516200004611</v>
      </c>
      <c r="N5" s="3">
        <v>1</v>
      </c>
      <c r="P5" s="3"/>
      <c r="Q5" s="3" t="s">
        <v>51</v>
      </c>
      <c r="R5" s="3">
        <v>0.37199239997425998</v>
      </c>
      <c r="S5" s="3">
        <v>1</v>
      </c>
    </row>
    <row r="6" spans="1:19" x14ac:dyDescent="0.4">
      <c r="A6" s="3"/>
      <c r="B6" s="3" t="s">
        <v>51</v>
      </c>
      <c r="C6" s="3">
        <v>0.51995320001151402</v>
      </c>
      <c r="D6" s="3">
        <v>1</v>
      </c>
      <c r="F6" s="3"/>
      <c r="G6" s="3" t="s">
        <v>51</v>
      </c>
      <c r="H6" s="3">
        <v>0.41571109998039901</v>
      </c>
      <c r="I6" s="3">
        <v>0</v>
      </c>
      <c r="K6" s="3"/>
      <c r="L6" s="3" t="s">
        <v>51</v>
      </c>
      <c r="M6" s="3">
        <v>0.459198499971535</v>
      </c>
      <c r="N6" s="3">
        <v>1</v>
      </c>
      <c r="P6" s="3"/>
      <c r="Q6" s="3" t="s">
        <v>51</v>
      </c>
      <c r="R6" s="3">
        <v>0.59903159999521405</v>
      </c>
      <c r="S6" s="3">
        <v>1</v>
      </c>
    </row>
    <row r="7" spans="1:19" x14ac:dyDescent="0.4">
      <c r="A7" s="3"/>
      <c r="B7" s="3" t="s">
        <v>51</v>
      </c>
      <c r="C7" s="3">
        <v>0.57697069999994699</v>
      </c>
      <c r="D7" s="3">
        <v>1</v>
      </c>
      <c r="F7" s="3"/>
      <c r="G7" s="3" t="s">
        <v>51</v>
      </c>
      <c r="H7" s="3">
        <v>0.96558530000038401</v>
      </c>
      <c r="I7" s="3">
        <v>1</v>
      </c>
      <c r="K7" s="3"/>
      <c r="L7" s="3" t="s">
        <v>51</v>
      </c>
      <c r="M7" s="3">
        <v>0.72008880000794295</v>
      </c>
      <c r="N7" s="3">
        <v>1</v>
      </c>
      <c r="P7" s="3"/>
      <c r="Q7" s="3" t="s">
        <v>51</v>
      </c>
      <c r="R7" s="3">
        <v>0.476550200022757</v>
      </c>
      <c r="S7" s="3">
        <v>1</v>
      </c>
    </row>
    <row r="8" spans="1:19" x14ac:dyDescent="0.4">
      <c r="A8" s="3"/>
      <c r="B8" s="3" t="s">
        <v>51</v>
      </c>
      <c r="C8" s="3">
        <v>0.61529909999808297</v>
      </c>
      <c r="D8" s="3">
        <v>1</v>
      </c>
      <c r="F8" s="3"/>
      <c r="G8" s="3" t="s">
        <v>51</v>
      </c>
      <c r="H8" s="3">
        <v>1.2264807000174101</v>
      </c>
      <c r="I8" s="3">
        <v>1</v>
      </c>
      <c r="K8" s="3"/>
      <c r="L8" s="3" t="s">
        <v>51</v>
      </c>
      <c r="M8" s="3">
        <v>0.56358600000385195</v>
      </c>
      <c r="N8" s="3">
        <v>1</v>
      </c>
      <c r="P8" s="3"/>
      <c r="Q8" s="3" t="s">
        <v>51</v>
      </c>
      <c r="R8" s="3">
        <v>0.355852199951186</v>
      </c>
      <c r="S8" s="3">
        <v>1</v>
      </c>
    </row>
    <row r="9" spans="1:19" x14ac:dyDescent="0.4">
      <c r="A9" s="3"/>
      <c r="B9" s="3" t="s">
        <v>51</v>
      </c>
      <c r="C9" s="3">
        <v>0.64253610000014305</v>
      </c>
      <c r="D9" s="3">
        <v>1</v>
      </c>
      <c r="F9" s="3"/>
      <c r="G9" s="3" t="s">
        <v>51</v>
      </c>
      <c r="H9" s="3">
        <v>0.64601160003803604</v>
      </c>
      <c r="I9" s="3">
        <v>1</v>
      </c>
      <c r="K9" s="3"/>
      <c r="L9" s="3" t="s">
        <v>51</v>
      </c>
      <c r="M9" s="3">
        <v>0.46912990004056998</v>
      </c>
      <c r="N9" s="3">
        <v>1</v>
      </c>
      <c r="P9" s="3"/>
      <c r="Q9" s="3" t="s">
        <v>51</v>
      </c>
      <c r="R9" s="3">
        <v>0.30317520000971798</v>
      </c>
      <c r="S9" s="3">
        <v>1</v>
      </c>
    </row>
    <row r="10" spans="1:19" x14ac:dyDescent="0.4">
      <c r="A10" s="3"/>
      <c r="B10" s="3" t="s">
        <v>51</v>
      </c>
      <c r="C10" s="3">
        <v>0.64286329998867497</v>
      </c>
      <c r="D10" s="3">
        <v>1</v>
      </c>
      <c r="F10" s="3"/>
      <c r="G10" s="3" t="s">
        <v>51</v>
      </c>
      <c r="H10" s="3">
        <v>0.73970989999361303</v>
      </c>
      <c r="I10" s="3">
        <v>1</v>
      </c>
      <c r="K10" s="3"/>
      <c r="L10" s="3" t="s">
        <v>51</v>
      </c>
      <c r="M10" s="3">
        <v>0.48561450000852302</v>
      </c>
      <c r="N10" s="3">
        <v>1</v>
      </c>
      <c r="P10" s="3"/>
      <c r="Q10" s="3" t="s">
        <v>51</v>
      </c>
      <c r="R10" s="3">
        <v>0.412160200008656</v>
      </c>
      <c r="S10" s="3">
        <v>0</v>
      </c>
    </row>
    <row r="11" spans="1:19" x14ac:dyDescent="0.4">
      <c r="A11" s="3"/>
      <c r="B11" s="3" t="s">
        <v>51</v>
      </c>
      <c r="C11" s="3">
        <v>0.41952379996655498</v>
      </c>
      <c r="D11" s="3">
        <v>1</v>
      </c>
      <c r="F11" s="3"/>
      <c r="G11" s="3" t="s">
        <v>51</v>
      </c>
      <c r="H11" s="3">
        <v>0.77807339996797897</v>
      </c>
      <c r="I11" s="3">
        <v>1</v>
      </c>
      <c r="K11" s="3"/>
      <c r="L11" s="3" t="s">
        <v>51</v>
      </c>
      <c r="M11" s="3">
        <v>0.43783579999580902</v>
      </c>
      <c r="N11" s="3">
        <v>1</v>
      </c>
      <c r="P11" s="3"/>
      <c r="Q11" s="3" t="s">
        <v>51</v>
      </c>
      <c r="R11" s="3">
        <v>0.54068570001982097</v>
      </c>
      <c r="S11" s="3">
        <v>1</v>
      </c>
    </row>
    <row r="13" spans="1:19" x14ac:dyDescent="0.4">
      <c r="A13" s="3"/>
      <c r="B13" s="3" t="s">
        <v>47</v>
      </c>
      <c r="C13" s="3">
        <v>1.78412020002724</v>
      </c>
      <c r="D13" s="3">
        <v>1</v>
      </c>
      <c r="F13" s="3"/>
      <c r="G13" s="3" t="s">
        <v>47</v>
      </c>
      <c r="H13" s="3">
        <v>0.38004989997716598</v>
      </c>
      <c r="I13" s="3">
        <v>1</v>
      </c>
      <c r="K13" s="3"/>
      <c r="L13" s="3" t="s">
        <v>47</v>
      </c>
      <c r="M13" s="3">
        <v>1.1179016000241899</v>
      </c>
      <c r="N13" s="3">
        <v>1</v>
      </c>
      <c r="P13" s="3"/>
      <c r="Q13" s="3" t="s">
        <v>47</v>
      </c>
      <c r="R13" s="3">
        <v>0.66687289997935295</v>
      </c>
      <c r="S13" s="3">
        <v>0</v>
      </c>
    </row>
    <row r="14" spans="1:19" x14ac:dyDescent="0.4">
      <c r="A14" s="3"/>
      <c r="B14" s="3" t="s">
        <v>47</v>
      </c>
      <c r="C14" s="3">
        <v>0.46955590002471498</v>
      </c>
      <c r="D14" s="3">
        <v>1</v>
      </c>
      <c r="F14" s="3"/>
      <c r="G14" s="3" t="s">
        <v>47</v>
      </c>
      <c r="H14" s="3">
        <v>0.460855900018941</v>
      </c>
      <c r="I14" s="3">
        <v>1</v>
      </c>
      <c r="K14" s="3"/>
      <c r="L14" s="3" t="s">
        <v>47</v>
      </c>
      <c r="M14" s="3">
        <v>0.65380020003067296</v>
      </c>
      <c r="N14" s="3">
        <v>1</v>
      </c>
      <c r="P14" s="3"/>
      <c r="Q14" s="3" t="s">
        <v>47</v>
      </c>
      <c r="R14" s="3">
        <v>0.57188990002032303</v>
      </c>
      <c r="S14" s="3">
        <v>1</v>
      </c>
    </row>
    <row r="15" spans="1:19" x14ac:dyDescent="0.4">
      <c r="A15" s="3"/>
      <c r="B15" s="3" t="s">
        <v>47</v>
      </c>
      <c r="C15" s="3">
        <v>0.70637149998219595</v>
      </c>
      <c r="D15" s="3">
        <v>1</v>
      </c>
      <c r="F15" s="3"/>
      <c r="G15" s="3" t="s">
        <v>47</v>
      </c>
      <c r="H15" s="3">
        <v>0.416658099973574</v>
      </c>
      <c r="I15" s="3">
        <v>1</v>
      </c>
      <c r="K15" s="3"/>
      <c r="L15" s="3" t="s">
        <v>47</v>
      </c>
      <c r="M15" s="3">
        <v>0.46610939997481099</v>
      </c>
      <c r="N15" s="3">
        <v>1</v>
      </c>
      <c r="P15" s="3"/>
      <c r="Q15" s="3" t="s">
        <v>47</v>
      </c>
      <c r="R15" s="3">
        <v>0.42971619998570498</v>
      </c>
      <c r="S15" s="3">
        <v>1</v>
      </c>
    </row>
    <row r="16" spans="1:19" x14ac:dyDescent="0.4">
      <c r="A16" s="3"/>
      <c r="B16" s="3" t="s">
        <v>47</v>
      </c>
      <c r="C16" s="3">
        <v>0.40811280003981598</v>
      </c>
      <c r="D16" s="3">
        <v>1</v>
      </c>
      <c r="F16" s="3"/>
      <c r="G16" s="3" t="s">
        <v>47</v>
      </c>
      <c r="H16" s="3">
        <v>0.49903210002230403</v>
      </c>
      <c r="I16" s="3">
        <v>1</v>
      </c>
      <c r="K16" s="3"/>
      <c r="L16" s="3" t="s">
        <v>47</v>
      </c>
      <c r="M16" s="3">
        <v>0.43191620003199199</v>
      </c>
      <c r="N16" s="3">
        <v>1</v>
      </c>
      <c r="P16" s="3"/>
      <c r="Q16" s="3" t="s">
        <v>47</v>
      </c>
      <c r="R16" s="3">
        <v>0.30837959999916997</v>
      </c>
      <c r="S16" s="3">
        <v>1</v>
      </c>
    </row>
    <row r="17" spans="1:19" x14ac:dyDescent="0.4">
      <c r="A17" s="3"/>
      <c r="B17" s="3" t="s">
        <v>47</v>
      </c>
      <c r="C17" s="3">
        <v>0.493190599954687</v>
      </c>
      <c r="D17" s="3">
        <v>1</v>
      </c>
      <c r="F17" s="3"/>
      <c r="G17" s="3" t="s">
        <v>47</v>
      </c>
      <c r="H17" s="3">
        <v>0.739230800012592</v>
      </c>
      <c r="I17" s="3">
        <v>0</v>
      </c>
      <c r="K17" s="3"/>
      <c r="L17" s="3" t="s">
        <v>47</v>
      </c>
      <c r="M17" s="3">
        <v>0.55683590000262395</v>
      </c>
      <c r="N17" s="3">
        <v>1</v>
      </c>
      <c r="P17" s="3"/>
      <c r="Q17" s="3" t="s">
        <v>47</v>
      </c>
      <c r="R17" s="3">
        <v>0.33147139998618502</v>
      </c>
      <c r="S17" s="3">
        <v>1</v>
      </c>
    </row>
    <row r="18" spans="1:19" x14ac:dyDescent="0.4">
      <c r="A18" s="3"/>
      <c r="B18" s="3" t="s">
        <v>47</v>
      </c>
      <c r="C18" s="3">
        <v>0.85406929999589898</v>
      </c>
      <c r="D18" s="3">
        <v>1</v>
      </c>
      <c r="F18" s="3"/>
      <c r="G18" s="3" t="s">
        <v>47</v>
      </c>
      <c r="H18" s="3">
        <v>1.0166905999649301</v>
      </c>
      <c r="I18" s="3">
        <v>0</v>
      </c>
      <c r="K18" s="3"/>
      <c r="L18" s="3" t="s">
        <v>47</v>
      </c>
      <c r="M18" s="3">
        <v>0.42918490001466097</v>
      </c>
      <c r="N18" s="3">
        <v>1</v>
      </c>
      <c r="P18" s="3"/>
      <c r="Q18" s="3" t="s">
        <v>47</v>
      </c>
      <c r="R18" s="3">
        <v>0.42594709998229502</v>
      </c>
      <c r="S18" s="3">
        <v>1</v>
      </c>
    </row>
    <row r="19" spans="1:19" x14ac:dyDescent="0.4">
      <c r="A19" s="3"/>
      <c r="B19" s="3" t="s">
        <v>47</v>
      </c>
      <c r="C19" s="3">
        <v>0.71062389999860898</v>
      </c>
      <c r="D19" s="3">
        <v>1</v>
      </c>
      <c r="F19" s="3"/>
      <c r="G19" s="3" t="s">
        <v>47</v>
      </c>
      <c r="H19" s="3">
        <v>0.87299970001913596</v>
      </c>
      <c r="I19" s="3">
        <v>1</v>
      </c>
      <c r="K19" s="3"/>
      <c r="L19" s="3" t="s">
        <v>47</v>
      </c>
      <c r="M19" s="3">
        <v>0.77059580001514405</v>
      </c>
      <c r="N19" s="3">
        <v>1</v>
      </c>
      <c r="P19" s="3"/>
      <c r="Q19" s="3" t="s">
        <v>47</v>
      </c>
      <c r="R19" s="3">
        <v>0.68140389997279205</v>
      </c>
      <c r="S19" s="3">
        <v>1</v>
      </c>
    </row>
    <row r="20" spans="1:19" x14ac:dyDescent="0.4">
      <c r="A20" s="3"/>
      <c r="B20" s="3" t="s">
        <v>47</v>
      </c>
      <c r="C20" s="3">
        <v>1.07638460001908</v>
      </c>
      <c r="D20" s="3">
        <v>1</v>
      </c>
      <c r="F20" s="3"/>
      <c r="G20" s="3" t="s">
        <v>47</v>
      </c>
      <c r="H20" s="3">
        <v>1.05941320001147</v>
      </c>
      <c r="I20" s="3">
        <v>1</v>
      </c>
      <c r="K20" s="3"/>
      <c r="L20" s="3" t="s">
        <v>47</v>
      </c>
      <c r="M20" s="3">
        <v>1.00364310003351</v>
      </c>
      <c r="N20" s="3">
        <v>1</v>
      </c>
      <c r="P20" s="3"/>
      <c r="Q20" s="3" t="s">
        <v>47</v>
      </c>
      <c r="R20" s="3">
        <v>0.40481879998696901</v>
      </c>
      <c r="S20" s="3">
        <v>1</v>
      </c>
    </row>
    <row r="21" spans="1:19" x14ac:dyDescent="0.4">
      <c r="A21" s="3"/>
      <c r="B21" s="3" t="s">
        <v>47</v>
      </c>
      <c r="C21" s="3">
        <v>0.58971809997456104</v>
      </c>
      <c r="D21" s="3">
        <v>1</v>
      </c>
      <c r="F21" s="3"/>
      <c r="G21" s="3" t="s">
        <v>47</v>
      </c>
      <c r="H21" s="3">
        <v>0.78075309999985598</v>
      </c>
      <c r="I21" s="3">
        <v>1</v>
      </c>
      <c r="K21" s="3"/>
      <c r="L21" s="3" t="s">
        <v>47</v>
      </c>
      <c r="M21" s="3">
        <v>0.51686999999219496</v>
      </c>
      <c r="N21" s="3">
        <v>1</v>
      </c>
      <c r="P21" s="3"/>
      <c r="Q21" s="3" t="s">
        <v>47</v>
      </c>
      <c r="R21" s="3">
        <v>0.60627170000225294</v>
      </c>
      <c r="S21" s="3">
        <v>1</v>
      </c>
    </row>
    <row r="22" spans="1:19" x14ac:dyDescent="0.4">
      <c r="A22" s="3"/>
      <c r="B22" s="3" t="s">
        <v>47</v>
      </c>
      <c r="C22" s="3">
        <v>0.47589319996768598</v>
      </c>
      <c r="D22" s="3">
        <v>1</v>
      </c>
      <c r="F22" s="3"/>
      <c r="G22" s="3" t="s">
        <v>47</v>
      </c>
      <c r="H22" s="3">
        <v>0.46572660002857402</v>
      </c>
      <c r="I22" s="3">
        <v>1</v>
      </c>
      <c r="K22" s="3"/>
      <c r="L22" s="3" t="s">
        <v>47</v>
      </c>
      <c r="M22" s="3">
        <v>0.52262369997333702</v>
      </c>
      <c r="N22" s="3">
        <v>1</v>
      </c>
      <c r="P22" s="3"/>
      <c r="Q22" s="3" t="s">
        <v>47</v>
      </c>
      <c r="R22" s="3">
        <v>0.42811310000251901</v>
      </c>
      <c r="S22" s="3">
        <v>1</v>
      </c>
    </row>
    <row r="26" spans="1:19" x14ac:dyDescent="0.4">
      <c r="A26" s="1" t="s">
        <v>65</v>
      </c>
      <c r="B26" t="s">
        <v>66</v>
      </c>
      <c r="C26" t="s">
        <v>67</v>
      </c>
      <c r="G26" s="1" t="s">
        <v>66</v>
      </c>
      <c r="H26" s="1" t="s">
        <v>67</v>
      </c>
    </row>
    <row r="27" spans="1:19" x14ac:dyDescent="0.4">
      <c r="A27" s="1">
        <v>1</v>
      </c>
      <c r="B27">
        <f>AVERAGE(C2:C11)</f>
        <v>0.55044491999433343</v>
      </c>
      <c r="C27">
        <f>AVERAGE(C13:C22)</f>
        <v>0.75680400999844899</v>
      </c>
      <c r="G27" s="1">
        <v>0.56775399999999998</v>
      </c>
      <c r="H27" s="1">
        <v>0.63959500000000002</v>
      </c>
    </row>
    <row r="28" spans="1:19" x14ac:dyDescent="0.4">
      <c r="A28" s="1">
        <v>2</v>
      </c>
      <c r="B28">
        <f>AVERAGE(H2:H11)</f>
        <v>0.68243548000464105</v>
      </c>
      <c r="C28">
        <f>AVERAGE(H13:H22)</f>
        <v>0.66914100000285437</v>
      </c>
    </row>
    <row r="29" spans="1:19" x14ac:dyDescent="0.4">
      <c r="A29" s="1">
        <v>3</v>
      </c>
      <c r="B29">
        <f>AVERAGE(M2:M11)</f>
        <v>0.59409448000369569</v>
      </c>
      <c r="C29">
        <f>AVERAGE(M13:M22)</f>
        <v>0.6469480800093137</v>
      </c>
    </row>
    <row r="30" spans="1:19" x14ac:dyDescent="0.4">
      <c r="A30" s="1">
        <v>4</v>
      </c>
      <c r="B30">
        <f>AVERAGE(R2:R11)</f>
        <v>0.44404081999673445</v>
      </c>
      <c r="C30">
        <f>AVERAGE(R13:R22)</f>
        <v>0.48548845999175638</v>
      </c>
    </row>
    <row r="31" spans="1:19" x14ac:dyDescent="0.4">
      <c r="A31" s="1"/>
    </row>
    <row r="32" spans="1:19" x14ac:dyDescent="0.4">
      <c r="A32" s="1" t="s">
        <v>68</v>
      </c>
      <c r="B32">
        <f>AVERAGE(B27:B30)</f>
        <v>0.56775392499985111</v>
      </c>
      <c r="C32">
        <f>AVERAGE(C27:C30)</f>
        <v>0.63959538750059342</v>
      </c>
    </row>
    <row r="33" spans="1:3" x14ac:dyDescent="0.4">
      <c r="A33" s="1" t="s">
        <v>69</v>
      </c>
      <c r="B33">
        <f>_xlfn.STDEV.S(B27:B30)</f>
        <v>9.9079459526215066E-2</v>
      </c>
      <c r="C33">
        <f>_xlfn.STDEV.S(C27:C30)</f>
        <v>0.11315742956801379</v>
      </c>
    </row>
    <row r="34" spans="1:3" x14ac:dyDescent="0.4">
      <c r="A34" s="1" t="s">
        <v>70</v>
      </c>
      <c r="B34">
        <f>(B33)/SQRT(4)</f>
        <v>4.9539729763107533E-2</v>
      </c>
      <c r="C34">
        <f>(C33)/SQRT(4)</f>
        <v>5.6578714784006896E-2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Raw(1st)</vt:lpstr>
      <vt:lpstr>Raw(2nd)</vt:lpstr>
      <vt:lpstr>Raw(3rd)</vt:lpstr>
      <vt:lpstr>Raw(4th)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Adhiraj Singh</dc:creator>
  <cp:lastModifiedBy>Adhiraj Singh</cp:lastModifiedBy>
  <dcterms:created xsi:type="dcterms:W3CDTF">2025-08-26T04:33:17Z</dcterms:created>
  <dcterms:modified xsi:type="dcterms:W3CDTF">2025-08-26T04:49:28Z</dcterms:modified>
</cp:coreProperties>
</file>